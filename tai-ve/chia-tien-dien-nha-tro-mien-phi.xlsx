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Tính tiền" sheetId="2" state="visible" r:id="rId4"/>
    <sheet name="Giấy báo" sheetId="3" state="visible" r:id="rId5"/>
    <sheet name="Cài đặt"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<sst xmlns="http://schemas.openxmlformats.org/spreadsheetml/2006/main" count="52" uniqueCount="52">
  <si>
    <t xml:space="preserve">CHIA TIỀN ĐIỆN NHÀ TRỌ THEO HÓA ĐƠN – BẢN MIỄN PHÍ</t>
  </si>
  <si>
    <t xml:space="preserve">Vì sao cần:</t>
  </si>
  <si>
    <t xml:space="preserve">Thu tiền điện của người thuê cao hơn giá quy định có thể bị phạt 20–30 triệu đồng và buộc hoàn trả (Nghị định 133/2026/NĐ-CP).</t>
  </si>
  <si>
    <t xml:space="preserve">Thông tư 60/2025/TT-BCT (điểm c khoản 5 Điều 12) quy định tổng tiền điện chủ nhà thu không vượt hóa đơn tháng; mốc áp dụng điểm này các nguồn chưa thống nhất – hỏi điện lực nơi bạn ở.</t>
  </si>
  <si>
    <t xml:space="preserve">Bảng này chia hóa đơn điện lực cho từng phòng, làm tròn XUỐNG 100 đ. Nhập chỉ số đúng thì tổng thu không vượt hóa đơn; ô KIỂM TRA báo đỏ khi vượt.</t>
  </si>
  <si>
    <t xml:space="preserve">Mỗi tháng làm 3 bước (ô nền vàng là ô bạn nhập):</t>
  </si>
  <si>
    <t xml:space="preserve">1. Tab 'Cài đặt': chọn cách chia điện (làm một lần).</t>
  </si>
  <si>
    <t xml:space="preserve">2. Tab 'Tính tiền': nhập số tiền và số kWh trên hóa đơn điện lực, chỉ số điện cũ/mới từng phòng.</t>
  </si>
  <si>
    <t xml:space="preserve">   Ô kiểm tra phía trên phải XANH. Nếu ĐỎ: đọc dòng cảnh báo và sửa.</t>
  </si>
  <si>
    <t xml:space="preserve">   Công tơ quay vòng về 0: ghi Điện cũ = 0 và Điện mới = số kWh phòng đã dùng tháng đó.</t>
  </si>
  <si>
    <t xml:space="preserve">   Bảng đã khóa cấu trúc (không chèn, xóa, sắp xếp dòng) để công thức không vỡ; mọi ô nền vàng vẫn sửa được. Phòng trống: xóa tên người thuê và tên phòng.</t>
  </si>
  <si>
    <t xml:space="preserve">Xong thì sang tab 'Giấy báo': mỗi phòng một đoạn ghi rõ cách tính, chép gửi Zalo cho người thuê.</t>
  </si>
  <si>
    <t xml:space="preserve">Sang tháng mới: Tạo bản sao file (hoặc bản sao tab 'Tính tiền'), chép cột 'Điện mới' sang cột 'Điện cũ', xóa số tháng trước.</t>
  </si>
  <si>
    <t xml:space="preserve">Hai cách chia điện (đều không vượt hóa đơn):</t>
  </si>
  <si>
    <t xml:space="preserve">• Giá bình quân hóa đơn: đơn giá = tiền hóa đơn ÷ kWh trên hóa đơn; phòng trả kWh của mình × đơn giá. Phần điện chung, hao hụt chủ nhà chịu.</t>
  </si>
  <si>
    <t xml:space="preserve">• Chia hết hóa đơn theo tỷ lệ dùng: cả hóa đơn chia cho các phòng theo kWh của từng phòng (gồm cả phần điện chung).</t>
  </si>
  <si>
    <t xml:space="preserve">Lưu ý: bảng giúp tính đúng tổng theo quy định trên, không phải tư vấn pháp lý. Người thuê đã ký hợp đồng điện riêng với điện lực thì không thu tiền điện qua bảng này.</t>
  </si>
  <si>
    <t xml:space="preserve">Các dòng phòng mẫu (P101–P103) là ví dụ: sửa hoặc xóa khi dùng thật. Dùng được trên Excel và Google Sheets.</t>
  </si>
  <si>
    <t xml:space="preserve">Bản đầy đủ có thêm:</t>
  </si>
  <si>
    <t xml:space="preserve">• Sổ cả năm 12 tháng: chỉ số cũ và nợ tự chuyển sang tháng sau, tab tổng kết cả năm.</t>
  </si>
  <si>
    <t xml:space="preserve">• Tiền nước (theo đồng hồ hoặc theo người), tiền phòng, phí dịch vụ, nợ, đã thu / còn nợ; nhắc hợp đồng sắp hết hạn.</t>
  </si>
  <si>
    <t xml:space="preserve">• Giấy báo tổng tiền từng phòng gồm tất cả các khoản.</t>
  </si>
  <si>
    <t xml:space="preserve">TÍNH TIỀN THÁNG</t>
  </si>
  <si>
    <t xml:space="preserve">Tháng</t>
  </si>
  <si>
    <t xml:space="preserve">10/2026</t>
  </si>
  <si>
    <t xml:space="preserve">Hóa đơn điện lực: số tiền phải trả (đã gồm thuế)</t>
  </si>
  <si>
    <t xml:space="preserve">Hóa đơn điện lực: số kWh (công tơ tổng)</t>
  </si>
  <si>
    <t xml:space="preserve">Đơn giá bình quân hóa đơn (đ/kWh)</t>
  </si>
  <si>
    <t xml:space="preserve">Tổng kWh các phòng</t>
  </si>
  <si>
    <t xml:space="preserve">Tổng tiền điện thu của các phòng</t>
  </si>
  <si>
    <t xml:space="preserve">KIỂM TRA</t>
  </si>
  <si>
    <t xml:space="preserve">Cách chia điện tháng này</t>
  </si>
  <si>
    <t xml:space="preserve">Phòng</t>
  </si>
  <si>
    <t xml:space="preserve">Người thuê</t>
  </si>
  <si>
    <t xml:space="preserve">Điện cũ</t>
  </si>
  <si>
    <t xml:space="preserve">Điện mới</t>
  </si>
  <si>
    <t xml:space="preserve">kWh</t>
  </si>
  <si>
    <t xml:space="preserve">Tiền điện</t>
  </si>
  <si>
    <t xml:space="preserve">Giấy báo (tự tạo)</t>
  </si>
  <si>
    <t xml:space="preserve">P101</t>
  </si>
  <si>
    <t xml:space="preserve">Anh Nam</t>
  </si>
  <si>
    <t xml:space="preserve">P102</t>
  </si>
  <si>
    <t xml:space="preserve">Chị Hoa</t>
  </si>
  <si>
    <t xml:space="preserve">P103</t>
  </si>
  <si>
    <t xml:space="preserve">Bạn Tuấn</t>
  </si>
  <si>
    <t xml:space="preserve">GIẤY BÁO TỪNG PHÒNG – chép ô bên dưới gửi Zalo</t>
  </si>
  <si>
    <t xml:space="preserve">Ô trống = phòng trống hoặc chưa nhập.</t>
  </si>
  <si>
    <t xml:space="preserve">CÀI ĐẶT</t>
  </si>
  <si>
    <t xml:space="preserve">Tên nhà trọ</t>
  </si>
  <si>
    <t xml:space="preserve">Nhà trọ mẫu</t>
  </si>
  <si>
    <t xml:space="preserve">Cách chia tiền điện</t>
  </si>
  <si>
    <t xml:space="preserve">Giá bình quân hóa đơn (khuyên dùng)</t>
  </si>
</sst>
</file>

<file path=xl/styles.xml><?xml version="1.0" encoding="utf-8"?>
<styleSheet xmlns="http://schemas.openxmlformats.org/spreadsheetml/2006/main">
  <numFmts count="4">
    <numFmt numFmtId="164" formatCode="General"/>
    <numFmt numFmtId="165" formatCode="#,##0&quot; đ&quot;;\-#,##0&quot; đ&quot;;\-"/>
    <numFmt numFmtId="166" formatCode="#,##0;\-#,##0;\-"/>
    <numFmt numFmtId="167" formatCode="#,##0.0&quot; đ&quot;"/>
  </numFmts>
  <fonts count="9">
    <font>
      <sz val="11"/>
      <color theme="1"/>
      <name val="Calibri"/>
      <family val="2"/>
      <charset val="1"/>
    </font>
    <font>
      <sz val="10"/>
      <name val="Arial"/>
      <family val="0"/>
    </font>
    <font>
      <sz val="10"/>
      <name val="Arial"/>
      <family val="0"/>
    </font>
    <font>
      <sz val="10"/>
      <name val="Arial"/>
      <family val="0"/>
    </font>
    <font>
      <b val="true"/>
      <sz val="16"/>
      <color rgb="FF1565C0"/>
      <name val="Arial"/>
      <family val="0"/>
      <charset val="1"/>
    </font>
    <font>
      <sz val="11"/>
      <name val="Arial"/>
      <family val="0"/>
      <charset val="1"/>
    </font>
    <font>
      <b val="true"/>
      <sz val="11"/>
      <name val="Arial"/>
      <family val="0"/>
      <charset val="1"/>
    </font>
    <font>
      <i val="true"/>
      <sz val="10"/>
      <color rgb="FF616161"/>
      <name val="Arial"/>
      <family val="0"/>
      <charset val="1"/>
    </font>
    <font>
      <b val="true"/>
      <sz val="11"/>
      <color rgb="FFFFFFFF"/>
      <name val="Arial"/>
      <family val="0"/>
      <charset val="1"/>
    </font>
  </fonts>
  <fills count="4">
    <fill>
      <patternFill patternType="none"/>
    </fill>
    <fill>
      <patternFill patternType="gray125"/>
    </fill>
    <fill>
      <patternFill patternType="solid">
        <fgColor rgb="FFFFF9C4"/>
        <bgColor rgb="FFFFFF99"/>
      </patternFill>
    </fill>
    <fill>
      <patternFill patternType="solid">
        <fgColor rgb="FF1565C0"/>
        <bgColor rgb="FF3366FF"/>
      </patternFill>
    </fill>
  </fills>
  <borders count="2">
    <border diagonalUp="false" diagonalDown="false">
      <left/>
      <right/>
      <top/>
      <bottom/>
      <diagonal/>
    </border>
    <border diagonalUp="false" diagonalDown="false">
      <left style="thin">
        <color rgb="FFBDBDBD"/>
      </left>
      <right style="thin">
        <color rgb="FFBDBDBD"/>
      </right>
      <top style="thin">
        <color rgb="FFBDBDBD"/>
      </top>
      <bottom style="thin">
        <color rgb="FFBDBDB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center" textRotation="0" wrapText="true" indent="0" shrinkToFit="false"/>
      <protection locked="true" hidden="false"/>
    </xf>
    <xf numFmtId="164" fontId="6" fillId="2" borderId="1" xfId="0" applyFont="true" applyBorder="true" applyAlignment="false" applyProtection="true">
      <alignment horizontal="general" vertical="bottom" textRotation="0" wrapText="false" indent="0" shrinkToFit="false"/>
      <protection locked="false" hidden="false"/>
    </xf>
    <xf numFmtId="165" fontId="6" fillId="2" borderId="1" xfId="0" applyFont="true" applyBorder="true" applyAlignment="false" applyProtection="true">
      <alignment horizontal="general" vertical="bottom" textRotation="0" wrapText="false" indent="0" shrinkToFit="false"/>
      <protection locked="false" hidden="false"/>
    </xf>
    <xf numFmtId="166" fontId="6" fillId="2" borderId="1" xfId="0" applyFont="true" applyBorder="true" applyAlignment="false" applyProtection="true">
      <alignment horizontal="general" vertical="bottom" textRotation="0" wrapText="false" indent="0" shrinkToFit="false"/>
      <protection locked="fals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true">
      <alignment horizontal="general" vertical="bottom" textRotation="0" wrapText="false" indent="0" shrinkToFit="false"/>
      <protection locked="false" hidden="false"/>
    </xf>
    <xf numFmtId="164" fontId="8" fillId="3" borderId="1" xfId="0" applyFont="true" applyBorder="true" applyAlignment="true" applyProtection="false">
      <alignment horizontal="general" vertical="bottom" textRotation="0" wrapText="tru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6" fontId="5" fillId="2" borderId="1" xfId="0" applyFont="true" applyBorder="true" applyAlignment="false" applyProtection="true">
      <alignment horizontal="general" vertical="bottom" textRotation="0" wrapText="false" indent="0" shrinkToFit="false"/>
      <protection locked="false" hidden="false"/>
    </xf>
    <xf numFmtId="166" fontId="5"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C8E6C9"/>
        </patternFill>
      </fill>
    </dxf>
    <dxf>
      <fill>
        <patternFill>
          <bgColor rgb="FFFFCDD2"/>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DBDBD"/>
      <rgbColor rgb="FF808080"/>
      <rgbColor rgb="FF9999FF"/>
      <rgbColor rgb="FF993366"/>
      <rgbColor rgb="FFFFF9C4"/>
      <rgbColor rgb="FFCCFFFF"/>
      <rgbColor rgb="FF660066"/>
      <rgbColor rgb="FFFF8080"/>
      <rgbColor rgb="FF1565C0"/>
      <rgbColor rgb="FFCCCCFF"/>
      <rgbColor rgb="FF000080"/>
      <rgbColor rgb="FFFF00FF"/>
      <rgbColor rgb="FFFFFF00"/>
      <rgbColor rgb="FF00FFFF"/>
      <rgbColor rgb="FF800080"/>
      <rgbColor rgb="FF800000"/>
      <rgbColor rgb="FF008080"/>
      <rgbColor rgb="FF0000FF"/>
      <rgbColor rgb="FF00CCFF"/>
      <rgbColor rgb="FFCCFFFF"/>
      <rgbColor rgb="FFC8E6C9"/>
      <rgbColor rgb="FFFFFF99"/>
      <rgbColor rgb="FF99CCFF"/>
      <rgbColor rgb="FFFF99CC"/>
      <rgbColor rgb="FFCC99FF"/>
      <rgbColor rgb="FFFFCDD2"/>
      <rgbColor rgb="FF3366FF"/>
      <rgbColor rgb="FF33CCCC"/>
      <rgbColor rgb="FF99CC00"/>
      <rgbColor rgb="FFFFCC00"/>
      <rgbColor rgb="FFFF9900"/>
      <rgbColor rgb="FFFF6600"/>
      <rgbColor rgb="FF616161"/>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9.7" hidden="false" customHeight="false" outlineLevel="0" collapsed="false">
      <c r="A1" s="1" t="s">
        <v>0</v>
      </c>
    </row>
    <row r="2" customFormat="false" ht="15" hidden="false" customHeight="false" outlineLevel="0" collapsed="false">
      <c r="A2" s="2"/>
    </row>
    <row r="3" customFormat="false" ht="15" hidden="false" customHeight="false" outlineLevel="0" collapsed="false">
      <c r="A3" s="3" t="s">
        <v>1</v>
      </c>
    </row>
    <row r="4" customFormat="false" ht="15" hidden="false" customHeight="false" outlineLevel="0" collapsed="false">
      <c r="A4" s="2" t="s">
        <v>2</v>
      </c>
    </row>
    <row r="5" customFormat="false" ht="15" hidden="false" customHeight="false" outlineLevel="0" collapsed="false">
      <c r="A5" s="2" t="s">
        <v>3</v>
      </c>
    </row>
    <row r="6" customFormat="false" ht="15" hidden="false" customHeight="false" outlineLevel="0" collapsed="false">
      <c r="A6" s="2" t="s">
        <v>4</v>
      </c>
    </row>
    <row r="7" customFormat="false" ht="15" hidden="false" customHeight="false" outlineLevel="0" collapsed="false">
      <c r="A7" s="2"/>
    </row>
    <row r="8" customFormat="false" ht="15" hidden="false" customHeight="false" outlineLevel="0" collapsed="false">
      <c r="A8" s="3" t="s">
        <v>5</v>
      </c>
    </row>
    <row r="9" customFormat="false" ht="15" hidden="false" customHeight="false" outlineLevel="0" collapsed="false">
      <c r="A9" s="2" t="s">
        <v>6</v>
      </c>
    </row>
    <row r="10" customFormat="false" ht="15" hidden="false" customHeight="false" outlineLevel="0" collapsed="false">
      <c r="A10" s="2" t="s">
        <v>7</v>
      </c>
    </row>
    <row r="11" customFormat="false" ht="15" hidden="false" customHeight="false" outlineLevel="0" collapsed="false">
      <c r="A11" s="2" t="s">
        <v>8</v>
      </c>
    </row>
    <row r="12" customFormat="false" ht="15" hidden="false" customHeight="false" outlineLevel="0" collapsed="false">
      <c r="A12" s="2" t="s">
        <v>9</v>
      </c>
    </row>
    <row r="13" customFormat="false" ht="15" hidden="false" customHeight="false" outlineLevel="0" collapsed="false">
      <c r="A13" s="2" t="s">
        <v>10</v>
      </c>
    </row>
    <row r="14" customFormat="false" ht="15" hidden="false" customHeight="false" outlineLevel="0" collapsed="false">
      <c r="A14" s="2" t="s">
        <v>11</v>
      </c>
    </row>
    <row r="15" customFormat="false" ht="15" hidden="false" customHeight="false" outlineLevel="0" collapsed="false">
      <c r="A15" s="2"/>
    </row>
    <row r="16" customFormat="false" ht="15" hidden="false" customHeight="false" outlineLevel="0" collapsed="false">
      <c r="A16" s="2" t="s">
        <v>12</v>
      </c>
    </row>
    <row r="17" customFormat="false" ht="15" hidden="false" customHeight="false" outlineLevel="0" collapsed="false">
      <c r="A17" s="2"/>
    </row>
    <row r="18" customFormat="false" ht="15" hidden="false" customHeight="false" outlineLevel="0" collapsed="false">
      <c r="A18" s="2"/>
    </row>
    <row r="19" customFormat="false" ht="15" hidden="false" customHeight="false" outlineLevel="0" collapsed="false">
      <c r="A19" s="3" t="s">
        <v>13</v>
      </c>
    </row>
    <row r="20" customFormat="false" ht="15" hidden="false" customHeight="false" outlineLevel="0" collapsed="false">
      <c r="A20" s="2" t="s">
        <v>14</v>
      </c>
    </row>
    <row r="21" customFormat="false" ht="15" hidden="false" customHeight="false" outlineLevel="0" collapsed="false">
      <c r="A21" s="2" t="s">
        <v>15</v>
      </c>
    </row>
    <row r="22" customFormat="false" ht="15" hidden="false" customHeight="false" outlineLevel="0" collapsed="false">
      <c r="A22" s="2"/>
    </row>
    <row r="23" customFormat="false" ht="15" hidden="false" customHeight="false" outlineLevel="0" collapsed="false">
      <c r="A23" s="4" t="s">
        <v>16</v>
      </c>
    </row>
    <row r="24" customFormat="false" ht="15" hidden="false" customHeight="false" outlineLevel="0" collapsed="false">
      <c r="A24" s="4" t="s">
        <v>17</v>
      </c>
    </row>
    <row r="25" customFormat="false" ht="15" hidden="false" customHeight="false" outlineLevel="0" collapsed="false">
      <c r="A25" s="2"/>
    </row>
    <row r="26" customFormat="false" ht="15" hidden="false" customHeight="false" outlineLevel="0" collapsed="false">
      <c r="A26" s="3" t="s">
        <v>18</v>
      </c>
    </row>
    <row r="27" customFormat="false" ht="15" hidden="false" customHeight="false" outlineLevel="0" collapsed="false">
      <c r="A27" s="2" t="s">
        <v>19</v>
      </c>
    </row>
    <row r="28" customFormat="false" ht="15" hidden="false" customHeight="false" outlineLevel="0" collapsed="false">
      <c r="A28" s="2" t="s">
        <v>20</v>
      </c>
    </row>
    <row r="29" customFormat="false" ht="15" hidden="false" customHeight="false" outlineLevel="0" collapsed="false">
      <c r="A29" s="2"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1" topLeftCell="C12" activePane="bottomRight" state="frozen"/>
      <selection pane="topLeft" activeCell="A1" activeCellId="0" sqref="A1"/>
      <selection pane="topRight" activeCell="C1" activeCellId="0" sqref="C1"/>
      <selection pane="bottomLeft" activeCell="A12" activeCellId="0" sqref="A1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6"/>
    <col collapsed="false" customWidth="true" hidden="false" outlineLevel="0" max="4" min="3" style="0" width="10"/>
    <col collapsed="false" customWidth="true" hidden="false" outlineLevel="0" max="5" min="5" style="0" width="8"/>
    <col collapsed="false" customWidth="true" hidden="false" outlineLevel="0" max="6" min="6" style="0" width="13"/>
    <col collapsed="false" customWidth="true" hidden="true" outlineLevel="0" max="7" min="7" style="0" width="9"/>
    <col collapsed="false" customWidth="true" hidden="false" outlineLevel="0" max="8" min="8" style="0" width="9"/>
    <col collapsed="false" customWidth="true" hidden="false" outlineLevel="0" max="9" min="9" style="0" width="7"/>
    <col collapsed="false" customWidth="true" hidden="false" outlineLevel="0" max="11" min="10" style="0" width="13"/>
    <col collapsed="false" customWidth="true" hidden="false" outlineLevel="0" max="12" min="12" style="0" width="12"/>
    <col collapsed="false" customWidth="true" hidden="false" outlineLevel="0" max="13" min="13" style="0" width="13"/>
    <col collapsed="false" customWidth="true" hidden="false" outlineLevel="0" max="14" min="14" style="0" width="12"/>
    <col collapsed="false" customWidth="true" hidden="false" outlineLevel="0" max="15" min="15" style="0" width="14"/>
    <col collapsed="false" customWidth="true" hidden="false" outlineLevel="0" max="17" min="16" style="0" width="13"/>
  </cols>
  <sheetData>
    <row r="1" customFormat="false" ht="19.7" hidden="false" customHeight="false" outlineLevel="0" collapsed="false">
      <c r="A1" s="1" t="s">
        <v>22</v>
      </c>
    </row>
    <row r="3" customFormat="false" ht="15" hidden="false" customHeight="false" outlineLevel="0" collapsed="false">
      <c r="A3" s="5" t="s">
        <v>23</v>
      </c>
      <c r="B3" s="6" t="s">
        <v>24</v>
      </c>
    </row>
    <row r="4" customFormat="false" ht="26.85" hidden="false" customHeight="false" outlineLevel="0" collapsed="false">
      <c r="A4" s="5" t="s">
        <v>25</v>
      </c>
      <c r="B4" s="7" t="n">
        <v>1980000</v>
      </c>
    </row>
    <row r="5" customFormat="false" ht="26.85" hidden="false" customHeight="false" outlineLevel="0" collapsed="false">
      <c r="A5" s="5" t="s">
        <v>26</v>
      </c>
      <c r="B5" s="8" t="n">
        <v>700</v>
      </c>
    </row>
    <row r="6" customFormat="false" ht="26.85" hidden="false" customHeight="false" outlineLevel="0" collapsed="false">
      <c r="A6" s="5" t="s">
        <v>27</v>
      </c>
      <c r="B6" s="9" t="n">
        <f aca="false">IF(N(B5)&gt;0,N(B4)/N(B5),0)</f>
        <v>2828.57142857143</v>
      </c>
    </row>
    <row r="7" customFormat="false" ht="15" hidden="false" customHeight="false" outlineLevel="0" collapsed="false">
      <c r="A7" s="5" t="s">
        <v>28</v>
      </c>
      <c r="B7" s="10" t="n">
        <f aca="false">SUM(E12:E41)</f>
        <v>655</v>
      </c>
    </row>
    <row r="8" customFormat="false" ht="26.85" hidden="false" customHeight="false" outlineLevel="0" collapsed="false">
      <c r="A8" s="5" t="s">
        <v>29</v>
      </c>
      <c r="B8" s="11" t="n">
        <f aca="false">SUM(F12:F41)</f>
        <v>1852600</v>
      </c>
    </row>
    <row r="9" customFormat="false" ht="15" hidden="false" customHeight="false" outlineLevel="0" collapsed="false">
      <c r="A9" s="5" t="s">
        <v>30</v>
      </c>
      <c r="B9" s="12" t="str">
        <f aca="false">IF(OR(ISTEXT(B4),ISTEXT(B5)),"LỖI: ô hóa đơn phải là số (không gõ dấu chấm) – vd 1980000",IF(N(B4)&lt;=0,"Nhập số tiền và kWh trên hóa đơn điện lực",IF(SUMPRODUCT((A12:A41&lt;&gt;"")*(D12:D41&lt;&gt;"")*(C12:C41=""))&gt;0,"LỖI: có phòng thiếu chỉ số điện cũ (tháng trước chưa nhập?) – nhập chỉ số cũ",IF(SUMPRODUCT((A12:A41&lt;&gt;"")*(D12:D41=""))&gt;0,"LỖI: có phòng đang thuê chưa nhập chỉ số điện mới",IF(SUMPRODUCT(ISTEXT(C12:D41)*(C12:D41&lt;&gt;""))&gt;0,"LỖI: có ô chỉ số điện không phải số (gõ chữ hoặc dấu chấm) – chỉ gõ số",IF(SUMPRODUCT((C12:C41&lt;&gt;"")*(D12:D41&lt;&gt;"")*(D12:D41&lt;C12:C41))&gt;0,"LỖI: có phòng chỉ số điện mới nhỏ hơn chỉ số cũ – kiểm tra lại",IF(B8&gt;B4,"VƯỢT HÓA ĐƠN: đang thu "&amp;TEXT(B8-B4,"#,##0")&amp;" đ nhiều hơn hóa đơn – không được thu",IF(B7&gt;B5,"VƯỢT: tổng kWh các phòng lớn hơn kWh trên hóa đơn – kiểm tra chỉ số hoặc công tơ","ĐÚNG: tổng tiền điện thu "&amp;TEXT(B8,"#,##0")&amp;" đ ≤ hóa đơn "&amp;TEXT(B4,"#,##0")&amp;" đ"))))))))</f>
        <v>ĐÚNG: tổng tiền điện thu 1,852,600 đ ≤ hóa đơn 1,980,000 đ</v>
      </c>
    </row>
    <row r="10" customFormat="false" ht="15" hidden="false" customHeight="false" outlineLevel="0" collapsed="false">
      <c r="A10" s="12" t="s">
        <v>31</v>
      </c>
      <c r="B10" s="13" t="str">
        <f aca="false">'Cài đặt'!B4</f>
        <v>Giá bình quân hóa đơn (khuyên dùng)</v>
      </c>
    </row>
    <row r="11" customFormat="false" ht="15" hidden="false" customHeight="false" outlineLevel="0" collapsed="false">
      <c r="A11" s="14" t="s">
        <v>32</v>
      </c>
      <c r="B11" s="14" t="s">
        <v>33</v>
      </c>
      <c r="C11" s="14" t="s">
        <v>34</v>
      </c>
      <c r="D11" s="14" t="s">
        <v>35</v>
      </c>
      <c r="E11" s="14" t="s">
        <v>36</v>
      </c>
      <c r="F11" s="14" t="s">
        <v>37</v>
      </c>
      <c r="G11" s="15" t="s">
        <v>38</v>
      </c>
    </row>
    <row r="12" customFormat="false" ht="15.75" hidden="false" customHeight="true" outlineLevel="0" collapsed="false">
      <c r="A12" s="13" t="s">
        <v>39</v>
      </c>
      <c r="B12" s="13" t="s">
        <v>40</v>
      </c>
      <c r="C12" s="16" t="n">
        <v>1200</v>
      </c>
      <c r="D12" s="16" t="n">
        <v>1420</v>
      </c>
      <c r="E12" s="17" t="n">
        <f aca="false">IF(OR(C12="",D12=""),0,IFERROR(MAX(0,D12-C12),0))</f>
        <v>220</v>
      </c>
      <c r="F12" s="18" t="n">
        <f aca="false">IF(OR(E12=0,NOT(OR(A12&lt;&gt;"",B12&lt;&gt;""))),0,IF($B$10="Chia hết hóa đơn theo tỷ lệ dùng",IF($B$7&gt;0,ROUNDDOWN(N($B$4)*E12/$B$7,-2),0),ROUNDDOWN(E12*$B$6,-2)))</f>
        <v>622200</v>
      </c>
      <c r="G12" s="19" t="str">
        <f aca="false">IF(OR(A12="",$B$4&lt;=0),"","Phòng "&amp;A12&amp;" – tháng "&amp;$B$3&amp;CHAR(10)&amp;"Điện: "&amp;TEXT(C12,"#,##0")&amp;" → "&amp;TEXT(D12,"#,##0")&amp;" = "&amp;E12&amp;" kWh → "&amp;TEXT(F12,"#,##0")&amp;" đ"&amp;CHAR(10)&amp;IF($B$10="Chia hết hóa đơn theo tỷ lệ dùng","(Chia hóa đơn điện lực "&amp;TEXT($B$4,"#,##0")&amp;" đ theo tỷ lệ: phòng dùng "&amp;E12&amp;" / tổng các phòng "&amp;TEXT($B$7,"#,##0")&amp;" kWh; làm tròn xuống 100 đ)","(Hóa đơn điện lực tháng: "&amp;TEXT($B$4,"#,##0")&amp;" đ / "&amp;TEXT($B$5,"#,##0")&amp;" kWh = "&amp;TEXT($B$6,"#,##0")&amp;" đ/kWh bình quân; làm tròn xuống 100 đ)"))</f>
        <v>Phòng P101 – tháng 10/2026
Điện: 1,200 → 1,420 = 220 kWh → 622,200 đ
(Hóa đơn điện lực tháng: 1,980,000 đ / 700 kWh = 2,829 đ/kWh bình quân; làm tròn xuống 100 đ)</v>
      </c>
    </row>
    <row r="13" customFormat="false" ht="15.75" hidden="false" customHeight="true" outlineLevel="0" collapsed="false">
      <c r="A13" s="13" t="s">
        <v>41</v>
      </c>
      <c r="B13" s="13" t="s">
        <v>42</v>
      </c>
      <c r="C13" s="16" t="n">
        <v>850</v>
      </c>
      <c r="D13" s="16" t="n">
        <v>990</v>
      </c>
      <c r="E13" s="17" t="n">
        <f aca="false">IF(OR(C13="",D13=""),0,IFERROR(MAX(0,D13-C13),0))</f>
        <v>140</v>
      </c>
      <c r="F13" s="18" t="n">
        <f aca="false">IF(OR(E13=0,NOT(OR(A13&lt;&gt;"",B13&lt;&gt;""))),0,IF($B$10="Chia hết hóa đơn theo tỷ lệ dùng",IF($B$7&gt;0,ROUNDDOWN(N($B$4)*E13/$B$7,-2),0),ROUNDDOWN(E13*$B$6,-2)))</f>
        <v>396000</v>
      </c>
      <c r="G13" s="19" t="str">
        <f aca="false">IF(OR(A13="",$B$4&lt;=0),"","Phòng "&amp;A13&amp;" – tháng "&amp;$B$3&amp;CHAR(10)&amp;"Điện: "&amp;TEXT(C13,"#,##0")&amp;" → "&amp;TEXT(D13,"#,##0")&amp;" = "&amp;E13&amp;" kWh → "&amp;TEXT(F13,"#,##0")&amp;" đ"&amp;CHAR(10)&amp;IF($B$10="Chia hết hóa đơn theo tỷ lệ dùng","(Chia hóa đơn điện lực "&amp;TEXT($B$4,"#,##0")&amp;" đ theo tỷ lệ: phòng dùng "&amp;E13&amp;" / tổng các phòng "&amp;TEXT($B$7,"#,##0")&amp;" kWh; làm tròn xuống 100 đ)","(Hóa đơn điện lực tháng: "&amp;TEXT($B$4,"#,##0")&amp;" đ / "&amp;TEXT($B$5,"#,##0")&amp;" kWh = "&amp;TEXT($B$6,"#,##0")&amp;" đ/kWh bình quân; làm tròn xuống 100 đ)"))</f>
        <v>Phòng P102 – tháng 10/2026
Điện: 850 → 990 = 140 kWh → 396,000 đ
(Hóa đơn điện lực tháng: 1,980,000 đ / 700 kWh = 2,829 đ/kWh bình quân; làm tròn xuống 100 đ)</v>
      </c>
    </row>
    <row r="14" customFormat="false" ht="15.75" hidden="false" customHeight="true" outlineLevel="0" collapsed="false">
      <c r="A14" s="13" t="s">
        <v>43</v>
      </c>
      <c r="B14" s="13" t="s">
        <v>44</v>
      </c>
      <c r="C14" s="16" t="n">
        <v>3010</v>
      </c>
      <c r="D14" s="16" t="n">
        <v>3305</v>
      </c>
      <c r="E14" s="17" t="n">
        <f aca="false">IF(OR(C14="",D14=""),0,IFERROR(MAX(0,D14-C14),0))</f>
        <v>295</v>
      </c>
      <c r="F14" s="18" t="n">
        <f aca="false">IF(OR(E14=0,NOT(OR(A14&lt;&gt;"",B14&lt;&gt;""))),0,IF($B$10="Chia hết hóa đơn theo tỷ lệ dùng",IF($B$7&gt;0,ROUNDDOWN(N($B$4)*E14/$B$7,-2),0),ROUNDDOWN(E14*$B$6,-2)))</f>
        <v>834400</v>
      </c>
      <c r="G14" s="19" t="str">
        <f aca="false">IF(OR(A14="",$B$4&lt;=0),"","Phòng "&amp;A14&amp;" – tháng "&amp;$B$3&amp;CHAR(10)&amp;"Điện: "&amp;TEXT(C14,"#,##0")&amp;" → "&amp;TEXT(D14,"#,##0")&amp;" = "&amp;E14&amp;" kWh → "&amp;TEXT(F14,"#,##0")&amp;" đ"&amp;CHAR(10)&amp;IF($B$10="Chia hết hóa đơn theo tỷ lệ dùng","(Chia hóa đơn điện lực "&amp;TEXT($B$4,"#,##0")&amp;" đ theo tỷ lệ: phòng dùng "&amp;E14&amp;" / tổng các phòng "&amp;TEXT($B$7,"#,##0")&amp;" kWh; làm tròn xuống 100 đ)","(Hóa đơn điện lực tháng: "&amp;TEXT($B$4,"#,##0")&amp;" đ / "&amp;TEXT($B$5,"#,##0")&amp;" kWh = "&amp;TEXT($B$6,"#,##0")&amp;" đ/kWh bình quân; làm tròn xuống 100 đ)"))</f>
        <v>Phòng P103 – tháng 10/2026
Điện: 3,010 → 3,305 = 295 kWh → 834,400 đ
(Hóa đơn điện lực tháng: 1,980,000 đ / 700 kWh = 2,829 đ/kWh bình quân; làm tròn xuống 100 đ)</v>
      </c>
    </row>
    <row r="15" customFormat="false" ht="15.75" hidden="false" customHeight="true" outlineLevel="0" collapsed="false">
      <c r="A15" s="13"/>
      <c r="B15" s="13"/>
      <c r="C15" s="16"/>
      <c r="D15" s="16"/>
      <c r="E15" s="17" t="n">
        <f aca="false">IF(OR(C15="",D15=""),0,IFERROR(MAX(0,D15-C15),0))</f>
        <v>0</v>
      </c>
      <c r="F15" s="18" t="n">
        <f aca="false">IF(OR(E15=0,NOT(OR(A15&lt;&gt;"",B15&lt;&gt;""))),0,IF($B$10="Chia hết hóa đơn theo tỷ lệ dùng",IF($B$7&gt;0,ROUNDDOWN(N($B$4)*E15/$B$7,-2),0),ROUNDDOWN(E15*$B$6,-2)))</f>
        <v>0</v>
      </c>
      <c r="G15" s="19" t="str">
        <f aca="false">IF(OR(A15="",$B$4&lt;=0),"","Phòng "&amp;A15&amp;" – tháng "&amp;$B$3&amp;CHAR(10)&amp;"Điện: "&amp;TEXT(C15,"#,##0")&amp;" → "&amp;TEXT(D15,"#,##0")&amp;" = "&amp;E15&amp;" kWh → "&amp;TEXT(F15,"#,##0")&amp;" đ"&amp;CHAR(10)&amp;IF($B$10="Chia hết hóa đơn theo tỷ lệ dùng","(Chia hóa đơn điện lực "&amp;TEXT($B$4,"#,##0")&amp;" đ theo tỷ lệ: phòng dùng "&amp;E15&amp;" / tổng các phòng "&amp;TEXT($B$7,"#,##0")&amp;" kWh; làm tròn xuống 100 đ)","(Hóa đơn điện lực tháng: "&amp;TEXT($B$4,"#,##0")&amp;" đ / "&amp;TEXT($B$5,"#,##0")&amp;" kWh = "&amp;TEXT($B$6,"#,##0")&amp;" đ/kWh bình quân; làm tròn xuống 100 đ)"))</f>
        <v/>
      </c>
    </row>
    <row r="16" customFormat="false" ht="15.75" hidden="false" customHeight="true" outlineLevel="0" collapsed="false">
      <c r="A16" s="13"/>
      <c r="B16" s="13"/>
      <c r="C16" s="16"/>
      <c r="D16" s="16"/>
      <c r="E16" s="17" t="n">
        <f aca="false">IF(OR(C16="",D16=""),0,IFERROR(MAX(0,D16-C16),0))</f>
        <v>0</v>
      </c>
      <c r="F16" s="18" t="n">
        <f aca="false">IF(OR(E16=0,NOT(OR(A16&lt;&gt;"",B16&lt;&gt;""))),0,IF($B$10="Chia hết hóa đơn theo tỷ lệ dùng",IF($B$7&gt;0,ROUNDDOWN(N($B$4)*E16/$B$7,-2),0),ROUNDDOWN(E16*$B$6,-2)))</f>
        <v>0</v>
      </c>
      <c r="G16" s="19" t="str">
        <f aca="false">IF(OR(A16="",$B$4&lt;=0),"","Phòng "&amp;A16&amp;" – tháng "&amp;$B$3&amp;CHAR(10)&amp;"Điện: "&amp;TEXT(C16,"#,##0")&amp;" → "&amp;TEXT(D16,"#,##0")&amp;" = "&amp;E16&amp;" kWh → "&amp;TEXT(F16,"#,##0")&amp;" đ"&amp;CHAR(10)&amp;IF($B$10="Chia hết hóa đơn theo tỷ lệ dùng","(Chia hóa đơn điện lực "&amp;TEXT($B$4,"#,##0")&amp;" đ theo tỷ lệ: phòng dùng "&amp;E16&amp;" / tổng các phòng "&amp;TEXT($B$7,"#,##0")&amp;" kWh; làm tròn xuống 100 đ)","(Hóa đơn điện lực tháng: "&amp;TEXT($B$4,"#,##0")&amp;" đ / "&amp;TEXT($B$5,"#,##0")&amp;" kWh = "&amp;TEXT($B$6,"#,##0")&amp;" đ/kWh bình quân; làm tròn xuống 100 đ)"))</f>
        <v/>
      </c>
    </row>
    <row r="17" customFormat="false" ht="15.75" hidden="false" customHeight="true" outlineLevel="0" collapsed="false">
      <c r="A17" s="13"/>
      <c r="B17" s="13"/>
      <c r="C17" s="16"/>
      <c r="D17" s="16"/>
      <c r="E17" s="17" t="n">
        <f aca="false">IF(OR(C17="",D17=""),0,IFERROR(MAX(0,D17-C17),0))</f>
        <v>0</v>
      </c>
      <c r="F17" s="18" t="n">
        <f aca="false">IF(OR(E17=0,NOT(OR(A17&lt;&gt;"",B17&lt;&gt;""))),0,IF($B$10="Chia hết hóa đơn theo tỷ lệ dùng",IF($B$7&gt;0,ROUNDDOWN(N($B$4)*E17/$B$7,-2),0),ROUNDDOWN(E17*$B$6,-2)))</f>
        <v>0</v>
      </c>
      <c r="G17" s="19" t="str">
        <f aca="false">IF(OR(A17="",$B$4&lt;=0),"","Phòng "&amp;A17&amp;" – tháng "&amp;$B$3&amp;CHAR(10)&amp;"Điện: "&amp;TEXT(C17,"#,##0")&amp;" → "&amp;TEXT(D17,"#,##0")&amp;" = "&amp;E17&amp;" kWh → "&amp;TEXT(F17,"#,##0")&amp;" đ"&amp;CHAR(10)&amp;IF($B$10="Chia hết hóa đơn theo tỷ lệ dùng","(Chia hóa đơn điện lực "&amp;TEXT($B$4,"#,##0")&amp;" đ theo tỷ lệ: phòng dùng "&amp;E17&amp;" / tổng các phòng "&amp;TEXT($B$7,"#,##0")&amp;" kWh; làm tròn xuống 100 đ)","(Hóa đơn điện lực tháng: "&amp;TEXT($B$4,"#,##0")&amp;" đ / "&amp;TEXT($B$5,"#,##0")&amp;" kWh = "&amp;TEXT($B$6,"#,##0")&amp;" đ/kWh bình quân; làm tròn xuống 100 đ)"))</f>
        <v/>
      </c>
    </row>
    <row r="18" customFormat="false" ht="15.75" hidden="false" customHeight="true" outlineLevel="0" collapsed="false">
      <c r="A18" s="13"/>
      <c r="B18" s="13"/>
      <c r="C18" s="16"/>
      <c r="D18" s="16"/>
      <c r="E18" s="17" t="n">
        <f aca="false">IF(OR(C18="",D18=""),0,IFERROR(MAX(0,D18-C18),0))</f>
        <v>0</v>
      </c>
      <c r="F18" s="18" t="n">
        <f aca="false">IF(OR(E18=0,NOT(OR(A18&lt;&gt;"",B18&lt;&gt;""))),0,IF($B$10="Chia hết hóa đơn theo tỷ lệ dùng",IF($B$7&gt;0,ROUNDDOWN(N($B$4)*E18/$B$7,-2),0),ROUNDDOWN(E18*$B$6,-2)))</f>
        <v>0</v>
      </c>
      <c r="G18" s="19" t="str">
        <f aca="false">IF(OR(A18="",$B$4&lt;=0),"","Phòng "&amp;A18&amp;" – tháng "&amp;$B$3&amp;CHAR(10)&amp;"Điện: "&amp;TEXT(C18,"#,##0")&amp;" → "&amp;TEXT(D18,"#,##0")&amp;" = "&amp;E18&amp;" kWh → "&amp;TEXT(F18,"#,##0")&amp;" đ"&amp;CHAR(10)&amp;IF($B$10="Chia hết hóa đơn theo tỷ lệ dùng","(Chia hóa đơn điện lực "&amp;TEXT($B$4,"#,##0")&amp;" đ theo tỷ lệ: phòng dùng "&amp;E18&amp;" / tổng các phòng "&amp;TEXT($B$7,"#,##0")&amp;" kWh; làm tròn xuống 100 đ)","(Hóa đơn điện lực tháng: "&amp;TEXT($B$4,"#,##0")&amp;" đ / "&amp;TEXT($B$5,"#,##0")&amp;" kWh = "&amp;TEXT($B$6,"#,##0")&amp;" đ/kWh bình quân; làm tròn xuống 100 đ)"))</f>
        <v/>
      </c>
    </row>
    <row r="19" customFormat="false" ht="15.75" hidden="false" customHeight="true" outlineLevel="0" collapsed="false">
      <c r="A19" s="13"/>
      <c r="B19" s="13"/>
      <c r="C19" s="16"/>
      <c r="D19" s="16"/>
      <c r="E19" s="17" t="n">
        <f aca="false">IF(OR(C19="",D19=""),0,IFERROR(MAX(0,D19-C19),0))</f>
        <v>0</v>
      </c>
      <c r="F19" s="18" t="n">
        <f aca="false">IF(OR(E19=0,NOT(OR(A19&lt;&gt;"",B19&lt;&gt;""))),0,IF($B$10="Chia hết hóa đơn theo tỷ lệ dùng",IF($B$7&gt;0,ROUNDDOWN(N($B$4)*E19/$B$7,-2),0),ROUNDDOWN(E19*$B$6,-2)))</f>
        <v>0</v>
      </c>
      <c r="G19" s="19" t="str">
        <f aca="false">IF(OR(A19="",$B$4&lt;=0),"","Phòng "&amp;A19&amp;" – tháng "&amp;$B$3&amp;CHAR(10)&amp;"Điện: "&amp;TEXT(C19,"#,##0")&amp;" → "&amp;TEXT(D19,"#,##0")&amp;" = "&amp;E19&amp;" kWh → "&amp;TEXT(F19,"#,##0")&amp;" đ"&amp;CHAR(10)&amp;IF($B$10="Chia hết hóa đơn theo tỷ lệ dùng","(Chia hóa đơn điện lực "&amp;TEXT($B$4,"#,##0")&amp;" đ theo tỷ lệ: phòng dùng "&amp;E19&amp;" / tổng các phòng "&amp;TEXT($B$7,"#,##0")&amp;" kWh; làm tròn xuống 100 đ)","(Hóa đơn điện lực tháng: "&amp;TEXT($B$4,"#,##0")&amp;" đ / "&amp;TEXT($B$5,"#,##0")&amp;" kWh = "&amp;TEXT($B$6,"#,##0")&amp;" đ/kWh bình quân; làm tròn xuống 100 đ)"))</f>
        <v/>
      </c>
    </row>
    <row r="20" customFormat="false" ht="15.75" hidden="false" customHeight="true" outlineLevel="0" collapsed="false">
      <c r="A20" s="13"/>
      <c r="B20" s="13"/>
      <c r="C20" s="16"/>
      <c r="D20" s="16"/>
      <c r="E20" s="17" t="n">
        <f aca="false">IF(OR(C20="",D20=""),0,IFERROR(MAX(0,D20-C20),0))</f>
        <v>0</v>
      </c>
      <c r="F20" s="18" t="n">
        <f aca="false">IF(OR(E20=0,NOT(OR(A20&lt;&gt;"",B20&lt;&gt;""))),0,IF($B$10="Chia hết hóa đơn theo tỷ lệ dùng",IF($B$7&gt;0,ROUNDDOWN(N($B$4)*E20/$B$7,-2),0),ROUNDDOWN(E20*$B$6,-2)))</f>
        <v>0</v>
      </c>
      <c r="G20" s="19" t="str">
        <f aca="false">IF(OR(A20="",$B$4&lt;=0),"","Phòng "&amp;A20&amp;" – tháng "&amp;$B$3&amp;CHAR(10)&amp;"Điện: "&amp;TEXT(C20,"#,##0")&amp;" → "&amp;TEXT(D20,"#,##0")&amp;" = "&amp;E20&amp;" kWh → "&amp;TEXT(F20,"#,##0")&amp;" đ"&amp;CHAR(10)&amp;IF($B$10="Chia hết hóa đơn theo tỷ lệ dùng","(Chia hóa đơn điện lực "&amp;TEXT($B$4,"#,##0")&amp;" đ theo tỷ lệ: phòng dùng "&amp;E20&amp;" / tổng các phòng "&amp;TEXT($B$7,"#,##0")&amp;" kWh; làm tròn xuống 100 đ)","(Hóa đơn điện lực tháng: "&amp;TEXT($B$4,"#,##0")&amp;" đ / "&amp;TEXT($B$5,"#,##0")&amp;" kWh = "&amp;TEXT($B$6,"#,##0")&amp;" đ/kWh bình quân; làm tròn xuống 100 đ)"))</f>
        <v/>
      </c>
    </row>
    <row r="21" customFormat="false" ht="15.75" hidden="false" customHeight="true" outlineLevel="0" collapsed="false">
      <c r="A21" s="13"/>
      <c r="B21" s="13"/>
      <c r="C21" s="16"/>
      <c r="D21" s="16"/>
      <c r="E21" s="17" t="n">
        <f aca="false">IF(OR(C21="",D21=""),0,IFERROR(MAX(0,D21-C21),0))</f>
        <v>0</v>
      </c>
      <c r="F21" s="18" t="n">
        <f aca="false">IF(OR(E21=0,NOT(OR(A21&lt;&gt;"",B21&lt;&gt;""))),0,IF($B$10="Chia hết hóa đơn theo tỷ lệ dùng",IF($B$7&gt;0,ROUNDDOWN(N($B$4)*E21/$B$7,-2),0),ROUNDDOWN(E21*$B$6,-2)))</f>
        <v>0</v>
      </c>
      <c r="G21" s="19" t="str">
        <f aca="false">IF(OR(A21="",$B$4&lt;=0),"","Phòng "&amp;A21&amp;" – tháng "&amp;$B$3&amp;CHAR(10)&amp;"Điện: "&amp;TEXT(C21,"#,##0")&amp;" → "&amp;TEXT(D21,"#,##0")&amp;" = "&amp;E21&amp;" kWh → "&amp;TEXT(F21,"#,##0")&amp;" đ"&amp;CHAR(10)&amp;IF($B$10="Chia hết hóa đơn theo tỷ lệ dùng","(Chia hóa đơn điện lực "&amp;TEXT($B$4,"#,##0")&amp;" đ theo tỷ lệ: phòng dùng "&amp;E21&amp;" / tổng các phòng "&amp;TEXT($B$7,"#,##0")&amp;" kWh; làm tròn xuống 100 đ)","(Hóa đơn điện lực tháng: "&amp;TEXT($B$4,"#,##0")&amp;" đ / "&amp;TEXT($B$5,"#,##0")&amp;" kWh = "&amp;TEXT($B$6,"#,##0")&amp;" đ/kWh bình quân; làm tròn xuống 100 đ)"))</f>
        <v/>
      </c>
    </row>
    <row r="22" customFormat="false" ht="15.75" hidden="false" customHeight="true" outlineLevel="0" collapsed="false">
      <c r="A22" s="13"/>
      <c r="B22" s="13"/>
      <c r="C22" s="16"/>
      <c r="D22" s="16"/>
      <c r="E22" s="17" t="n">
        <f aca="false">IF(OR(C22="",D22=""),0,IFERROR(MAX(0,D22-C22),0))</f>
        <v>0</v>
      </c>
      <c r="F22" s="18" t="n">
        <f aca="false">IF(OR(E22=0,NOT(OR(A22&lt;&gt;"",B22&lt;&gt;""))),0,IF($B$10="Chia hết hóa đơn theo tỷ lệ dùng",IF($B$7&gt;0,ROUNDDOWN(N($B$4)*E22/$B$7,-2),0),ROUNDDOWN(E22*$B$6,-2)))</f>
        <v>0</v>
      </c>
      <c r="G22" s="19" t="str">
        <f aca="false">IF(OR(A22="",$B$4&lt;=0),"","Phòng "&amp;A22&amp;" – tháng "&amp;$B$3&amp;CHAR(10)&amp;"Điện: "&amp;TEXT(C22,"#,##0")&amp;" → "&amp;TEXT(D22,"#,##0")&amp;" = "&amp;E22&amp;" kWh → "&amp;TEXT(F22,"#,##0")&amp;" đ"&amp;CHAR(10)&amp;IF($B$10="Chia hết hóa đơn theo tỷ lệ dùng","(Chia hóa đơn điện lực "&amp;TEXT($B$4,"#,##0")&amp;" đ theo tỷ lệ: phòng dùng "&amp;E22&amp;" / tổng các phòng "&amp;TEXT($B$7,"#,##0")&amp;" kWh; làm tròn xuống 100 đ)","(Hóa đơn điện lực tháng: "&amp;TEXT($B$4,"#,##0")&amp;" đ / "&amp;TEXT($B$5,"#,##0")&amp;" kWh = "&amp;TEXT($B$6,"#,##0")&amp;" đ/kWh bình quân; làm tròn xuống 100 đ)"))</f>
        <v/>
      </c>
    </row>
    <row r="23" customFormat="false" ht="15.75" hidden="false" customHeight="true" outlineLevel="0" collapsed="false">
      <c r="A23" s="13"/>
      <c r="B23" s="13"/>
      <c r="C23" s="16"/>
      <c r="D23" s="16"/>
      <c r="E23" s="17" t="n">
        <f aca="false">IF(OR(C23="",D23=""),0,IFERROR(MAX(0,D23-C23),0))</f>
        <v>0</v>
      </c>
      <c r="F23" s="18" t="n">
        <f aca="false">IF(OR(E23=0,NOT(OR(A23&lt;&gt;"",B23&lt;&gt;""))),0,IF($B$10="Chia hết hóa đơn theo tỷ lệ dùng",IF($B$7&gt;0,ROUNDDOWN(N($B$4)*E23/$B$7,-2),0),ROUNDDOWN(E23*$B$6,-2)))</f>
        <v>0</v>
      </c>
      <c r="G23" s="19" t="str">
        <f aca="false">IF(OR(A23="",$B$4&lt;=0),"","Phòng "&amp;A23&amp;" – tháng "&amp;$B$3&amp;CHAR(10)&amp;"Điện: "&amp;TEXT(C23,"#,##0")&amp;" → "&amp;TEXT(D23,"#,##0")&amp;" = "&amp;E23&amp;" kWh → "&amp;TEXT(F23,"#,##0")&amp;" đ"&amp;CHAR(10)&amp;IF($B$10="Chia hết hóa đơn theo tỷ lệ dùng","(Chia hóa đơn điện lực "&amp;TEXT($B$4,"#,##0")&amp;" đ theo tỷ lệ: phòng dùng "&amp;E23&amp;" / tổng các phòng "&amp;TEXT($B$7,"#,##0")&amp;" kWh; làm tròn xuống 100 đ)","(Hóa đơn điện lực tháng: "&amp;TEXT($B$4,"#,##0")&amp;" đ / "&amp;TEXT($B$5,"#,##0")&amp;" kWh = "&amp;TEXT($B$6,"#,##0")&amp;" đ/kWh bình quân; làm tròn xuống 100 đ)"))</f>
        <v/>
      </c>
    </row>
    <row r="24" customFormat="false" ht="15.75" hidden="false" customHeight="true" outlineLevel="0" collapsed="false">
      <c r="A24" s="13"/>
      <c r="B24" s="13"/>
      <c r="C24" s="16"/>
      <c r="D24" s="16"/>
      <c r="E24" s="17" t="n">
        <f aca="false">IF(OR(C24="",D24=""),0,IFERROR(MAX(0,D24-C24),0))</f>
        <v>0</v>
      </c>
      <c r="F24" s="18" t="n">
        <f aca="false">IF(OR(E24=0,NOT(OR(A24&lt;&gt;"",B24&lt;&gt;""))),0,IF($B$10="Chia hết hóa đơn theo tỷ lệ dùng",IF($B$7&gt;0,ROUNDDOWN(N($B$4)*E24/$B$7,-2),0),ROUNDDOWN(E24*$B$6,-2)))</f>
        <v>0</v>
      </c>
      <c r="G24" s="19" t="str">
        <f aca="false">IF(OR(A24="",$B$4&lt;=0),"","Phòng "&amp;A24&amp;" – tháng "&amp;$B$3&amp;CHAR(10)&amp;"Điện: "&amp;TEXT(C24,"#,##0")&amp;" → "&amp;TEXT(D24,"#,##0")&amp;" = "&amp;E24&amp;" kWh → "&amp;TEXT(F24,"#,##0")&amp;" đ"&amp;CHAR(10)&amp;IF($B$10="Chia hết hóa đơn theo tỷ lệ dùng","(Chia hóa đơn điện lực "&amp;TEXT($B$4,"#,##0")&amp;" đ theo tỷ lệ: phòng dùng "&amp;E24&amp;" / tổng các phòng "&amp;TEXT($B$7,"#,##0")&amp;" kWh; làm tròn xuống 100 đ)","(Hóa đơn điện lực tháng: "&amp;TEXT($B$4,"#,##0")&amp;" đ / "&amp;TEXT($B$5,"#,##0")&amp;" kWh = "&amp;TEXT($B$6,"#,##0")&amp;" đ/kWh bình quân; làm tròn xuống 100 đ)"))</f>
        <v/>
      </c>
    </row>
    <row r="25" customFormat="false" ht="15.75" hidden="false" customHeight="true" outlineLevel="0" collapsed="false">
      <c r="A25" s="13"/>
      <c r="B25" s="13"/>
      <c r="C25" s="16"/>
      <c r="D25" s="16"/>
      <c r="E25" s="17" t="n">
        <f aca="false">IF(OR(C25="",D25=""),0,IFERROR(MAX(0,D25-C25),0))</f>
        <v>0</v>
      </c>
      <c r="F25" s="18" t="n">
        <f aca="false">IF(OR(E25=0,NOT(OR(A25&lt;&gt;"",B25&lt;&gt;""))),0,IF($B$10="Chia hết hóa đơn theo tỷ lệ dùng",IF($B$7&gt;0,ROUNDDOWN(N($B$4)*E25/$B$7,-2),0),ROUNDDOWN(E25*$B$6,-2)))</f>
        <v>0</v>
      </c>
      <c r="G25" s="19" t="str">
        <f aca="false">IF(OR(A25="",$B$4&lt;=0),"","Phòng "&amp;A25&amp;" – tháng "&amp;$B$3&amp;CHAR(10)&amp;"Điện: "&amp;TEXT(C25,"#,##0")&amp;" → "&amp;TEXT(D25,"#,##0")&amp;" = "&amp;E25&amp;" kWh → "&amp;TEXT(F25,"#,##0")&amp;" đ"&amp;CHAR(10)&amp;IF($B$10="Chia hết hóa đơn theo tỷ lệ dùng","(Chia hóa đơn điện lực "&amp;TEXT($B$4,"#,##0")&amp;" đ theo tỷ lệ: phòng dùng "&amp;E25&amp;" / tổng các phòng "&amp;TEXT($B$7,"#,##0")&amp;" kWh; làm tròn xuống 100 đ)","(Hóa đơn điện lực tháng: "&amp;TEXT($B$4,"#,##0")&amp;" đ / "&amp;TEXT($B$5,"#,##0")&amp;" kWh = "&amp;TEXT($B$6,"#,##0")&amp;" đ/kWh bình quân; làm tròn xuống 100 đ)"))</f>
        <v/>
      </c>
    </row>
    <row r="26" customFormat="false" ht="15.75" hidden="false" customHeight="true" outlineLevel="0" collapsed="false">
      <c r="A26" s="13"/>
      <c r="B26" s="13"/>
      <c r="C26" s="16"/>
      <c r="D26" s="16"/>
      <c r="E26" s="17" t="n">
        <f aca="false">IF(OR(C26="",D26=""),0,IFERROR(MAX(0,D26-C26),0))</f>
        <v>0</v>
      </c>
      <c r="F26" s="18" t="n">
        <f aca="false">IF(OR(E26=0,NOT(OR(A26&lt;&gt;"",B26&lt;&gt;""))),0,IF($B$10="Chia hết hóa đơn theo tỷ lệ dùng",IF($B$7&gt;0,ROUNDDOWN(N($B$4)*E26/$B$7,-2),0),ROUNDDOWN(E26*$B$6,-2)))</f>
        <v>0</v>
      </c>
      <c r="G26" s="19" t="str">
        <f aca="false">IF(OR(A26="",$B$4&lt;=0),"","Phòng "&amp;A26&amp;" – tháng "&amp;$B$3&amp;CHAR(10)&amp;"Điện: "&amp;TEXT(C26,"#,##0")&amp;" → "&amp;TEXT(D26,"#,##0")&amp;" = "&amp;E26&amp;" kWh → "&amp;TEXT(F26,"#,##0")&amp;" đ"&amp;CHAR(10)&amp;IF($B$10="Chia hết hóa đơn theo tỷ lệ dùng","(Chia hóa đơn điện lực "&amp;TEXT($B$4,"#,##0")&amp;" đ theo tỷ lệ: phòng dùng "&amp;E26&amp;" / tổng các phòng "&amp;TEXT($B$7,"#,##0")&amp;" kWh; làm tròn xuống 100 đ)","(Hóa đơn điện lực tháng: "&amp;TEXT($B$4,"#,##0")&amp;" đ / "&amp;TEXT($B$5,"#,##0")&amp;" kWh = "&amp;TEXT($B$6,"#,##0")&amp;" đ/kWh bình quân; làm tròn xuống 100 đ)"))</f>
        <v/>
      </c>
    </row>
    <row r="27" customFormat="false" ht="15.75" hidden="false" customHeight="true" outlineLevel="0" collapsed="false">
      <c r="A27" s="13"/>
      <c r="B27" s="13"/>
      <c r="C27" s="16"/>
      <c r="D27" s="16"/>
      <c r="E27" s="17" t="n">
        <f aca="false">IF(OR(C27="",D27=""),0,IFERROR(MAX(0,D27-C27),0))</f>
        <v>0</v>
      </c>
      <c r="F27" s="18" t="n">
        <f aca="false">IF(OR(E27=0,NOT(OR(A27&lt;&gt;"",B27&lt;&gt;""))),0,IF($B$10="Chia hết hóa đơn theo tỷ lệ dùng",IF($B$7&gt;0,ROUNDDOWN(N($B$4)*E27/$B$7,-2),0),ROUNDDOWN(E27*$B$6,-2)))</f>
        <v>0</v>
      </c>
      <c r="G27" s="19" t="str">
        <f aca="false">IF(OR(A27="",$B$4&lt;=0),"","Phòng "&amp;A27&amp;" – tháng "&amp;$B$3&amp;CHAR(10)&amp;"Điện: "&amp;TEXT(C27,"#,##0")&amp;" → "&amp;TEXT(D27,"#,##0")&amp;" = "&amp;E27&amp;" kWh → "&amp;TEXT(F27,"#,##0")&amp;" đ"&amp;CHAR(10)&amp;IF($B$10="Chia hết hóa đơn theo tỷ lệ dùng","(Chia hóa đơn điện lực "&amp;TEXT($B$4,"#,##0")&amp;" đ theo tỷ lệ: phòng dùng "&amp;E27&amp;" / tổng các phòng "&amp;TEXT($B$7,"#,##0")&amp;" kWh; làm tròn xuống 100 đ)","(Hóa đơn điện lực tháng: "&amp;TEXT($B$4,"#,##0")&amp;" đ / "&amp;TEXT($B$5,"#,##0")&amp;" kWh = "&amp;TEXT($B$6,"#,##0")&amp;" đ/kWh bình quân; làm tròn xuống 100 đ)"))</f>
        <v/>
      </c>
    </row>
    <row r="28" customFormat="false" ht="15.75" hidden="false" customHeight="true" outlineLevel="0" collapsed="false">
      <c r="A28" s="13"/>
      <c r="B28" s="13"/>
      <c r="C28" s="16"/>
      <c r="D28" s="16"/>
      <c r="E28" s="17" t="n">
        <f aca="false">IF(OR(C28="",D28=""),0,IFERROR(MAX(0,D28-C28),0))</f>
        <v>0</v>
      </c>
      <c r="F28" s="18" t="n">
        <f aca="false">IF(OR(E28=0,NOT(OR(A28&lt;&gt;"",B28&lt;&gt;""))),0,IF($B$10="Chia hết hóa đơn theo tỷ lệ dùng",IF($B$7&gt;0,ROUNDDOWN(N($B$4)*E28/$B$7,-2),0),ROUNDDOWN(E28*$B$6,-2)))</f>
        <v>0</v>
      </c>
      <c r="G28" s="19" t="str">
        <f aca="false">IF(OR(A28="",$B$4&lt;=0),"","Phòng "&amp;A28&amp;" – tháng "&amp;$B$3&amp;CHAR(10)&amp;"Điện: "&amp;TEXT(C28,"#,##0")&amp;" → "&amp;TEXT(D28,"#,##0")&amp;" = "&amp;E28&amp;" kWh → "&amp;TEXT(F28,"#,##0")&amp;" đ"&amp;CHAR(10)&amp;IF($B$10="Chia hết hóa đơn theo tỷ lệ dùng","(Chia hóa đơn điện lực "&amp;TEXT($B$4,"#,##0")&amp;" đ theo tỷ lệ: phòng dùng "&amp;E28&amp;" / tổng các phòng "&amp;TEXT($B$7,"#,##0")&amp;" kWh; làm tròn xuống 100 đ)","(Hóa đơn điện lực tháng: "&amp;TEXT($B$4,"#,##0")&amp;" đ / "&amp;TEXT($B$5,"#,##0")&amp;" kWh = "&amp;TEXT($B$6,"#,##0")&amp;" đ/kWh bình quân; làm tròn xuống 100 đ)"))</f>
        <v/>
      </c>
    </row>
    <row r="29" customFormat="false" ht="15.75" hidden="false" customHeight="true" outlineLevel="0" collapsed="false">
      <c r="A29" s="13"/>
      <c r="B29" s="13"/>
      <c r="C29" s="16"/>
      <c r="D29" s="16"/>
      <c r="E29" s="17" t="n">
        <f aca="false">IF(OR(C29="",D29=""),0,IFERROR(MAX(0,D29-C29),0))</f>
        <v>0</v>
      </c>
      <c r="F29" s="18" t="n">
        <f aca="false">IF(OR(E29=0,NOT(OR(A29&lt;&gt;"",B29&lt;&gt;""))),0,IF($B$10="Chia hết hóa đơn theo tỷ lệ dùng",IF($B$7&gt;0,ROUNDDOWN(N($B$4)*E29/$B$7,-2),0),ROUNDDOWN(E29*$B$6,-2)))</f>
        <v>0</v>
      </c>
      <c r="G29" s="19" t="str">
        <f aca="false">IF(OR(A29="",$B$4&lt;=0),"","Phòng "&amp;A29&amp;" – tháng "&amp;$B$3&amp;CHAR(10)&amp;"Điện: "&amp;TEXT(C29,"#,##0")&amp;" → "&amp;TEXT(D29,"#,##0")&amp;" = "&amp;E29&amp;" kWh → "&amp;TEXT(F29,"#,##0")&amp;" đ"&amp;CHAR(10)&amp;IF($B$10="Chia hết hóa đơn theo tỷ lệ dùng","(Chia hóa đơn điện lực "&amp;TEXT($B$4,"#,##0")&amp;" đ theo tỷ lệ: phòng dùng "&amp;E29&amp;" / tổng các phòng "&amp;TEXT($B$7,"#,##0")&amp;" kWh; làm tròn xuống 100 đ)","(Hóa đơn điện lực tháng: "&amp;TEXT($B$4,"#,##0")&amp;" đ / "&amp;TEXT($B$5,"#,##0")&amp;" kWh = "&amp;TEXT($B$6,"#,##0")&amp;" đ/kWh bình quân; làm tròn xuống 100 đ)"))</f>
        <v/>
      </c>
    </row>
    <row r="30" customFormat="false" ht="15.75" hidden="false" customHeight="true" outlineLevel="0" collapsed="false">
      <c r="A30" s="13"/>
      <c r="B30" s="13"/>
      <c r="C30" s="16"/>
      <c r="D30" s="16"/>
      <c r="E30" s="17" t="n">
        <f aca="false">IF(OR(C30="",D30=""),0,IFERROR(MAX(0,D30-C30),0))</f>
        <v>0</v>
      </c>
      <c r="F30" s="18" t="n">
        <f aca="false">IF(OR(E30=0,NOT(OR(A30&lt;&gt;"",B30&lt;&gt;""))),0,IF($B$10="Chia hết hóa đơn theo tỷ lệ dùng",IF($B$7&gt;0,ROUNDDOWN(N($B$4)*E30/$B$7,-2),0),ROUNDDOWN(E30*$B$6,-2)))</f>
        <v>0</v>
      </c>
      <c r="G30" s="19" t="str">
        <f aca="false">IF(OR(A30="",$B$4&lt;=0),"","Phòng "&amp;A30&amp;" – tháng "&amp;$B$3&amp;CHAR(10)&amp;"Điện: "&amp;TEXT(C30,"#,##0")&amp;" → "&amp;TEXT(D30,"#,##0")&amp;" = "&amp;E30&amp;" kWh → "&amp;TEXT(F30,"#,##0")&amp;" đ"&amp;CHAR(10)&amp;IF($B$10="Chia hết hóa đơn theo tỷ lệ dùng","(Chia hóa đơn điện lực "&amp;TEXT($B$4,"#,##0")&amp;" đ theo tỷ lệ: phòng dùng "&amp;E30&amp;" / tổng các phòng "&amp;TEXT($B$7,"#,##0")&amp;" kWh; làm tròn xuống 100 đ)","(Hóa đơn điện lực tháng: "&amp;TEXT($B$4,"#,##0")&amp;" đ / "&amp;TEXT($B$5,"#,##0")&amp;" kWh = "&amp;TEXT($B$6,"#,##0")&amp;" đ/kWh bình quân; làm tròn xuống 100 đ)"))</f>
        <v/>
      </c>
    </row>
    <row r="31" customFormat="false" ht="15.75" hidden="false" customHeight="true" outlineLevel="0" collapsed="false">
      <c r="A31" s="13"/>
      <c r="B31" s="13"/>
      <c r="C31" s="16"/>
      <c r="D31" s="16"/>
      <c r="E31" s="17" t="n">
        <f aca="false">IF(OR(C31="",D31=""),0,IFERROR(MAX(0,D31-C31),0))</f>
        <v>0</v>
      </c>
      <c r="F31" s="18" t="n">
        <f aca="false">IF(OR(E31=0,NOT(OR(A31&lt;&gt;"",B31&lt;&gt;""))),0,IF($B$10="Chia hết hóa đơn theo tỷ lệ dùng",IF($B$7&gt;0,ROUNDDOWN(N($B$4)*E31/$B$7,-2),0),ROUNDDOWN(E31*$B$6,-2)))</f>
        <v>0</v>
      </c>
      <c r="G31" s="19" t="str">
        <f aca="false">IF(OR(A31="",$B$4&lt;=0),"","Phòng "&amp;A31&amp;" – tháng "&amp;$B$3&amp;CHAR(10)&amp;"Điện: "&amp;TEXT(C31,"#,##0")&amp;" → "&amp;TEXT(D31,"#,##0")&amp;" = "&amp;E31&amp;" kWh → "&amp;TEXT(F31,"#,##0")&amp;" đ"&amp;CHAR(10)&amp;IF($B$10="Chia hết hóa đơn theo tỷ lệ dùng","(Chia hóa đơn điện lực "&amp;TEXT($B$4,"#,##0")&amp;" đ theo tỷ lệ: phòng dùng "&amp;E31&amp;" / tổng các phòng "&amp;TEXT($B$7,"#,##0")&amp;" kWh; làm tròn xuống 100 đ)","(Hóa đơn điện lực tháng: "&amp;TEXT($B$4,"#,##0")&amp;" đ / "&amp;TEXT($B$5,"#,##0")&amp;" kWh = "&amp;TEXT($B$6,"#,##0")&amp;" đ/kWh bình quân; làm tròn xuống 100 đ)"))</f>
        <v/>
      </c>
    </row>
    <row r="32" customFormat="false" ht="15.75" hidden="false" customHeight="true" outlineLevel="0" collapsed="false">
      <c r="A32" s="13"/>
      <c r="B32" s="13"/>
      <c r="C32" s="16"/>
      <c r="D32" s="16"/>
      <c r="E32" s="17" t="n">
        <f aca="false">IF(OR(C32="",D32=""),0,IFERROR(MAX(0,D32-C32),0))</f>
        <v>0</v>
      </c>
      <c r="F32" s="18" t="n">
        <f aca="false">IF(OR(E32=0,NOT(OR(A32&lt;&gt;"",B32&lt;&gt;""))),0,IF($B$10="Chia hết hóa đơn theo tỷ lệ dùng",IF($B$7&gt;0,ROUNDDOWN(N($B$4)*E32/$B$7,-2),0),ROUNDDOWN(E32*$B$6,-2)))</f>
        <v>0</v>
      </c>
      <c r="G32" s="19" t="str">
        <f aca="false">IF(OR(A32="",$B$4&lt;=0),"","Phòng "&amp;A32&amp;" – tháng "&amp;$B$3&amp;CHAR(10)&amp;"Điện: "&amp;TEXT(C32,"#,##0")&amp;" → "&amp;TEXT(D32,"#,##0")&amp;" = "&amp;E32&amp;" kWh → "&amp;TEXT(F32,"#,##0")&amp;" đ"&amp;CHAR(10)&amp;IF($B$10="Chia hết hóa đơn theo tỷ lệ dùng","(Chia hóa đơn điện lực "&amp;TEXT($B$4,"#,##0")&amp;" đ theo tỷ lệ: phòng dùng "&amp;E32&amp;" / tổng các phòng "&amp;TEXT($B$7,"#,##0")&amp;" kWh; làm tròn xuống 100 đ)","(Hóa đơn điện lực tháng: "&amp;TEXT($B$4,"#,##0")&amp;" đ / "&amp;TEXT($B$5,"#,##0")&amp;" kWh = "&amp;TEXT($B$6,"#,##0")&amp;" đ/kWh bình quân; làm tròn xuống 100 đ)"))</f>
        <v/>
      </c>
    </row>
    <row r="33" customFormat="false" ht="15.75" hidden="false" customHeight="true" outlineLevel="0" collapsed="false">
      <c r="A33" s="13"/>
      <c r="B33" s="13"/>
      <c r="C33" s="16"/>
      <c r="D33" s="16"/>
      <c r="E33" s="17" t="n">
        <f aca="false">IF(OR(C33="",D33=""),0,IFERROR(MAX(0,D33-C33),0))</f>
        <v>0</v>
      </c>
      <c r="F33" s="18" t="n">
        <f aca="false">IF(OR(E33=0,NOT(OR(A33&lt;&gt;"",B33&lt;&gt;""))),0,IF($B$10="Chia hết hóa đơn theo tỷ lệ dùng",IF($B$7&gt;0,ROUNDDOWN(N($B$4)*E33/$B$7,-2),0),ROUNDDOWN(E33*$B$6,-2)))</f>
        <v>0</v>
      </c>
      <c r="G33" s="19" t="str">
        <f aca="false">IF(OR(A33="",$B$4&lt;=0),"","Phòng "&amp;A33&amp;" – tháng "&amp;$B$3&amp;CHAR(10)&amp;"Điện: "&amp;TEXT(C33,"#,##0")&amp;" → "&amp;TEXT(D33,"#,##0")&amp;" = "&amp;E33&amp;" kWh → "&amp;TEXT(F33,"#,##0")&amp;" đ"&amp;CHAR(10)&amp;IF($B$10="Chia hết hóa đơn theo tỷ lệ dùng","(Chia hóa đơn điện lực "&amp;TEXT($B$4,"#,##0")&amp;" đ theo tỷ lệ: phòng dùng "&amp;E33&amp;" / tổng các phòng "&amp;TEXT($B$7,"#,##0")&amp;" kWh; làm tròn xuống 100 đ)","(Hóa đơn điện lực tháng: "&amp;TEXT($B$4,"#,##0")&amp;" đ / "&amp;TEXT($B$5,"#,##0")&amp;" kWh = "&amp;TEXT($B$6,"#,##0")&amp;" đ/kWh bình quân; làm tròn xuống 100 đ)"))</f>
        <v/>
      </c>
    </row>
    <row r="34" customFormat="false" ht="15.75" hidden="false" customHeight="true" outlineLevel="0" collapsed="false">
      <c r="A34" s="13"/>
      <c r="B34" s="13"/>
      <c r="C34" s="16"/>
      <c r="D34" s="16"/>
      <c r="E34" s="17" t="n">
        <f aca="false">IF(OR(C34="",D34=""),0,IFERROR(MAX(0,D34-C34),0))</f>
        <v>0</v>
      </c>
      <c r="F34" s="18" t="n">
        <f aca="false">IF(OR(E34=0,NOT(OR(A34&lt;&gt;"",B34&lt;&gt;""))),0,IF($B$10="Chia hết hóa đơn theo tỷ lệ dùng",IF($B$7&gt;0,ROUNDDOWN(N($B$4)*E34/$B$7,-2),0),ROUNDDOWN(E34*$B$6,-2)))</f>
        <v>0</v>
      </c>
      <c r="G34" s="19" t="str">
        <f aca="false">IF(OR(A34="",$B$4&lt;=0),"","Phòng "&amp;A34&amp;" – tháng "&amp;$B$3&amp;CHAR(10)&amp;"Điện: "&amp;TEXT(C34,"#,##0")&amp;" → "&amp;TEXT(D34,"#,##0")&amp;" = "&amp;E34&amp;" kWh → "&amp;TEXT(F34,"#,##0")&amp;" đ"&amp;CHAR(10)&amp;IF($B$10="Chia hết hóa đơn theo tỷ lệ dùng","(Chia hóa đơn điện lực "&amp;TEXT($B$4,"#,##0")&amp;" đ theo tỷ lệ: phòng dùng "&amp;E34&amp;" / tổng các phòng "&amp;TEXT($B$7,"#,##0")&amp;" kWh; làm tròn xuống 100 đ)","(Hóa đơn điện lực tháng: "&amp;TEXT($B$4,"#,##0")&amp;" đ / "&amp;TEXT($B$5,"#,##0")&amp;" kWh = "&amp;TEXT($B$6,"#,##0")&amp;" đ/kWh bình quân; làm tròn xuống 100 đ)"))</f>
        <v/>
      </c>
    </row>
    <row r="35" customFormat="false" ht="15.75" hidden="false" customHeight="true" outlineLevel="0" collapsed="false">
      <c r="A35" s="13"/>
      <c r="B35" s="13"/>
      <c r="C35" s="16"/>
      <c r="D35" s="16"/>
      <c r="E35" s="17" t="n">
        <f aca="false">IF(OR(C35="",D35=""),0,IFERROR(MAX(0,D35-C35),0))</f>
        <v>0</v>
      </c>
      <c r="F35" s="18" t="n">
        <f aca="false">IF(OR(E35=0,NOT(OR(A35&lt;&gt;"",B35&lt;&gt;""))),0,IF($B$10="Chia hết hóa đơn theo tỷ lệ dùng",IF($B$7&gt;0,ROUNDDOWN(N($B$4)*E35/$B$7,-2),0),ROUNDDOWN(E35*$B$6,-2)))</f>
        <v>0</v>
      </c>
      <c r="G35" s="19" t="str">
        <f aca="false">IF(OR(A35="",$B$4&lt;=0),"","Phòng "&amp;A35&amp;" – tháng "&amp;$B$3&amp;CHAR(10)&amp;"Điện: "&amp;TEXT(C35,"#,##0")&amp;" → "&amp;TEXT(D35,"#,##0")&amp;" = "&amp;E35&amp;" kWh → "&amp;TEXT(F35,"#,##0")&amp;" đ"&amp;CHAR(10)&amp;IF($B$10="Chia hết hóa đơn theo tỷ lệ dùng","(Chia hóa đơn điện lực "&amp;TEXT($B$4,"#,##0")&amp;" đ theo tỷ lệ: phòng dùng "&amp;E35&amp;" / tổng các phòng "&amp;TEXT($B$7,"#,##0")&amp;" kWh; làm tròn xuống 100 đ)","(Hóa đơn điện lực tháng: "&amp;TEXT($B$4,"#,##0")&amp;" đ / "&amp;TEXT($B$5,"#,##0")&amp;" kWh = "&amp;TEXT($B$6,"#,##0")&amp;" đ/kWh bình quân; làm tròn xuống 100 đ)"))</f>
        <v/>
      </c>
    </row>
    <row r="36" customFormat="false" ht="15.75" hidden="false" customHeight="true" outlineLevel="0" collapsed="false">
      <c r="A36" s="13"/>
      <c r="B36" s="13"/>
      <c r="C36" s="16"/>
      <c r="D36" s="16"/>
      <c r="E36" s="17" t="n">
        <f aca="false">IF(OR(C36="",D36=""),0,IFERROR(MAX(0,D36-C36),0))</f>
        <v>0</v>
      </c>
      <c r="F36" s="18" t="n">
        <f aca="false">IF(OR(E36=0,NOT(OR(A36&lt;&gt;"",B36&lt;&gt;""))),0,IF($B$10="Chia hết hóa đơn theo tỷ lệ dùng",IF($B$7&gt;0,ROUNDDOWN(N($B$4)*E36/$B$7,-2),0),ROUNDDOWN(E36*$B$6,-2)))</f>
        <v>0</v>
      </c>
      <c r="G36" s="19" t="str">
        <f aca="false">IF(OR(A36="",$B$4&lt;=0),"","Phòng "&amp;A36&amp;" – tháng "&amp;$B$3&amp;CHAR(10)&amp;"Điện: "&amp;TEXT(C36,"#,##0")&amp;" → "&amp;TEXT(D36,"#,##0")&amp;" = "&amp;E36&amp;" kWh → "&amp;TEXT(F36,"#,##0")&amp;" đ"&amp;CHAR(10)&amp;IF($B$10="Chia hết hóa đơn theo tỷ lệ dùng","(Chia hóa đơn điện lực "&amp;TEXT($B$4,"#,##0")&amp;" đ theo tỷ lệ: phòng dùng "&amp;E36&amp;" / tổng các phòng "&amp;TEXT($B$7,"#,##0")&amp;" kWh; làm tròn xuống 100 đ)","(Hóa đơn điện lực tháng: "&amp;TEXT($B$4,"#,##0")&amp;" đ / "&amp;TEXT($B$5,"#,##0")&amp;" kWh = "&amp;TEXT($B$6,"#,##0")&amp;" đ/kWh bình quân; làm tròn xuống 100 đ)"))</f>
        <v/>
      </c>
    </row>
    <row r="37" customFormat="false" ht="15.75" hidden="false" customHeight="true" outlineLevel="0" collapsed="false">
      <c r="A37" s="13"/>
      <c r="B37" s="13"/>
      <c r="C37" s="16"/>
      <c r="D37" s="16"/>
      <c r="E37" s="17" t="n">
        <f aca="false">IF(OR(C37="",D37=""),0,IFERROR(MAX(0,D37-C37),0))</f>
        <v>0</v>
      </c>
      <c r="F37" s="18" t="n">
        <f aca="false">IF(OR(E37=0,NOT(OR(A37&lt;&gt;"",B37&lt;&gt;""))),0,IF($B$10="Chia hết hóa đơn theo tỷ lệ dùng",IF($B$7&gt;0,ROUNDDOWN(N($B$4)*E37/$B$7,-2),0),ROUNDDOWN(E37*$B$6,-2)))</f>
        <v>0</v>
      </c>
      <c r="G37" s="19" t="str">
        <f aca="false">IF(OR(A37="",$B$4&lt;=0),"","Phòng "&amp;A37&amp;" – tháng "&amp;$B$3&amp;CHAR(10)&amp;"Điện: "&amp;TEXT(C37,"#,##0")&amp;" → "&amp;TEXT(D37,"#,##0")&amp;" = "&amp;E37&amp;" kWh → "&amp;TEXT(F37,"#,##0")&amp;" đ"&amp;CHAR(10)&amp;IF($B$10="Chia hết hóa đơn theo tỷ lệ dùng","(Chia hóa đơn điện lực "&amp;TEXT($B$4,"#,##0")&amp;" đ theo tỷ lệ: phòng dùng "&amp;E37&amp;" / tổng các phòng "&amp;TEXT($B$7,"#,##0")&amp;" kWh; làm tròn xuống 100 đ)","(Hóa đơn điện lực tháng: "&amp;TEXT($B$4,"#,##0")&amp;" đ / "&amp;TEXT($B$5,"#,##0")&amp;" kWh = "&amp;TEXT($B$6,"#,##0")&amp;" đ/kWh bình quân; làm tròn xuống 100 đ)"))</f>
        <v/>
      </c>
    </row>
    <row r="38" customFormat="false" ht="15.75" hidden="false" customHeight="true" outlineLevel="0" collapsed="false">
      <c r="A38" s="13"/>
      <c r="B38" s="13"/>
      <c r="C38" s="16"/>
      <c r="D38" s="16"/>
      <c r="E38" s="17" t="n">
        <f aca="false">IF(OR(C38="",D38=""),0,IFERROR(MAX(0,D38-C38),0))</f>
        <v>0</v>
      </c>
      <c r="F38" s="18" t="n">
        <f aca="false">IF(OR(E38=0,NOT(OR(A38&lt;&gt;"",B38&lt;&gt;""))),0,IF($B$10="Chia hết hóa đơn theo tỷ lệ dùng",IF($B$7&gt;0,ROUNDDOWN(N($B$4)*E38/$B$7,-2),0),ROUNDDOWN(E38*$B$6,-2)))</f>
        <v>0</v>
      </c>
      <c r="G38" s="19" t="str">
        <f aca="false">IF(OR(A38="",$B$4&lt;=0),"","Phòng "&amp;A38&amp;" – tháng "&amp;$B$3&amp;CHAR(10)&amp;"Điện: "&amp;TEXT(C38,"#,##0")&amp;" → "&amp;TEXT(D38,"#,##0")&amp;" = "&amp;E38&amp;" kWh → "&amp;TEXT(F38,"#,##0")&amp;" đ"&amp;CHAR(10)&amp;IF($B$10="Chia hết hóa đơn theo tỷ lệ dùng","(Chia hóa đơn điện lực "&amp;TEXT($B$4,"#,##0")&amp;" đ theo tỷ lệ: phòng dùng "&amp;E38&amp;" / tổng các phòng "&amp;TEXT($B$7,"#,##0")&amp;" kWh; làm tròn xuống 100 đ)","(Hóa đơn điện lực tháng: "&amp;TEXT($B$4,"#,##0")&amp;" đ / "&amp;TEXT($B$5,"#,##0")&amp;" kWh = "&amp;TEXT($B$6,"#,##0")&amp;" đ/kWh bình quân; làm tròn xuống 100 đ)"))</f>
        <v/>
      </c>
    </row>
    <row r="39" customFormat="false" ht="15.75" hidden="false" customHeight="true" outlineLevel="0" collapsed="false">
      <c r="A39" s="13"/>
      <c r="B39" s="13"/>
      <c r="C39" s="16"/>
      <c r="D39" s="16"/>
      <c r="E39" s="17" t="n">
        <f aca="false">IF(OR(C39="",D39=""),0,IFERROR(MAX(0,D39-C39),0))</f>
        <v>0</v>
      </c>
      <c r="F39" s="18" t="n">
        <f aca="false">IF(OR(E39=0,NOT(OR(A39&lt;&gt;"",B39&lt;&gt;""))),0,IF($B$10="Chia hết hóa đơn theo tỷ lệ dùng",IF($B$7&gt;0,ROUNDDOWN(N($B$4)*E39/$B$7,-2),0),ROUNDDOWN(E39*$B$6,-2)))</f>
        <v>0</v>
      </c>
      <c r="G39" s="19" t="str">
        <f aca="false">IF(OR(A39="",$B$4&lt;=0),"","Phòng "&amp;A39&amp;" – tháng "&amp;$B$3&amp;CHAR(10)&amp;"Điện: "&amp;TEXT(C39,"#,##0")&amp;" → "&amp;TEXT(D39,"#,##0")&amp;" = "&amp;E39&amp;" kWh → "&amp;TEXT(F39,"#,##0")&amp;" đ"&amp;CHAR(10)&amp;IF($B$10="Chia hết hóa đơn theo tỷ lệ dùng","(Chia hóa đơn điện lực "&amp;TEXT($B$4,"#,##0")&amp;" đ theo tỷ lệ: phòng dùng "&amp;E39&amp;" / tổng các phòng "&amp;TEXT($B$7,"#,##0")&amp;" kWh; làm tròn xuống 100 đ)","(Hóa đơn điện lực tháng: "&amp;TEXT($B$4,"#,##0")&amp;" đ / "&amp;TEXT($B$5,"#,##0")&amp;" kWh = "&amp;TEXT($B$6,"#,##0")&amp;" đ/kWh bình quân; làm tròn xuống 100 đ)"))</f>
        <v/>
      </c>
    </row>
    <row r="40" customFormat="false" ht="15.75" hidden="false" customHeight="true" outlineLevel="0" collapsed="false">
      <c r="A40" s="13"/>
      <c r="B40" s="13"/>
      <c r="C40" s="16"/>
      <c r="D40" s="16"/>
      <c r="E40" s="17" t="n">
        <f aca="false">IF(OR(C40="",D40=""),0,IFERROR(MAX(0,D40-C40),0))</f>
        <v>0</v>
      </c>
      <c r="F40" s="18" t="n">
        <f aca="false">IF(OR(E40=0,NOT(OR(A40&lt;&gt;"",B40&lt;&gt;""))),0,IF($B$10="Chia hết hóa đơn theo tỷ lệ dùng",IF($B$7&gt;0,ROUNDDOWN(N($B$4)*E40/$B$7,-2),0),ROUNDDOWN(E40*$B$6,-2)))</f>
        <v>0</v>
      </c>
      <c r="G40" s="19" t="str">
        <f aca="false">IF(OR(A40="",$B$4&lt;=0),"","Phòng "&amp;A40&amp;" – tháng "&amp;$B$3&amp;CHAR(10)&amp;"Điện: "&amp;TEXT(C40,"#,##0")&amp;" → "&amp;TEXT(D40,"#,##0")&amp;" = "&amp;E40&amp;" kWh → "&amp;TEXT(F40,"#,##0")&amp;" đ"&amp;CHAR(10)&amp;IF($B$10="Chia hết hóa đơn theo tỷ lệ dùng","(Chia hóa đơn điện lực "&amp;TEXT($B$4,"#,##0")&amp;" đ theo tỷ lệ: phòng dùng "&amp;E40&amp;" / tổng các phòng "&amp;TEXT($B$7,"#,##0")&amp;" kWh; làm tròn xuống 100 đ)","(Hóa đơn điện lực tháng: "&amp;TEXT($B$4,"#,##0")&amp;" đ / "&amp;TEXT($B$5,"#,##0")&amp;" kWh = "&amp;TEXT($B$6,"#,##0")&amp;" đ/kWh bình quân; làm tròn xuống 100 đ)"))</f>
        <v/>
      </c>
    </row>
    <row r="41" customFormat="false" ht="15.75" hidden="false" customHeight="true" outlineLevel="0" collapsed="false">
      <c r="A41" s="13"/>
      <c r="B41" s="13"/>
      <c r="C41" s="16"/>
      <c r="D41" s="16"/>
      <c r="E41" s="17" t="n">
        <f aca="false">IF(OR(C41="",D41=""),0,IFERROR(MAX(0,D41-C41),0))</f>
        <v>0</v>
      </c>
      <c r="F41" s="18" t="n">
        <f aca="false">IF(OR(E41=0,NOT(OR(A41&lt;&gt;"",B41&lt;&gt;""))),0,IF($B$10="Chia hết hóa đơn theo tỷ lệ dùng",IF($B$7&gt;0,ROUNDDOWN(N($B$4)*E41/$B$7,-2),0),ROUNDDOWN(E41*$B$6,-2)))</f>
        <v>0</v>
      </c>
      <c r="G41" s="19" t="str">
        <f aca="false">IF(OR(A41="",$B$4&lt;=0),"","Phòng "&amp;A41&amp;" – tháng "&amp;$B$3&amp;CHAR(10)&amp;"Điện: "&amp;TEXT(C41,"#,##0")&amp;" → "&amp;TEXT(D41,"#,##0")&amp;" = "&amp;E41&amp;" kWh → "&amp;TEXT(F41,"#,##0")&amp;" đ"&amp;CHAR(10)&amp;IF($B$10="Chia hết hóa đơn theo tỷ lệ dùng","(Chia hóa đơn điện lực "&amp;TEXT($B$4,"#,##0")&amp;" đ theo tỷ lệ: phòng dùng "&amp;E41&amp;" / tổng các phòng "&amp;TEXT($B$7,"#,##0")&amp;" kWh; làm tròn xuống 100 đ)","(Hóa đơn điện lực tháng: "&amp;TEXT($B$4,"#,##0")&amp;" đ / "&amp;TEXT($B$5,"#,##0")&amp;" kWh = "&amp;TEXT($B$6,"#,##0")&amp;" đ/kWh bình quân; làm tròn xuống 100 đ)"))</f>
        <v/>
      </c>
    </row>
  </sheetData>
  <sheetProtection sheet="true" formatCells="false" formatColumns="false"/>
  <conditionalFormatting sqref="B9">
    <cfRule type="expression" priority="2" aboveAverage="0" equalAverage="0" bottom="0" percent="0" rank="0" text="" dxfId="0">
      <formula>LEFT(B9,4)="ĐÚNG"</formula>
    </cfRule>
    <cfRule type="expression" priority="3" aboveAverage="0" equalAverage="0" bottom="0" percent="0" rank="0" text="" dxfId="1">
      <formula>AND(LEFT(B9,4)&lt;&gt;"ĐÚNG",LEFT(B9,4)&lt;&gt;"Nhập")</formula>
    </cfRule>
  </conditionalFormatting>
  <conditionalFormatting sqref="D12:D41">
    <cfRule type="expression" priority="4" aboveAverage="0" equalAverage="0" bottom="0" percent="0" rank="0" text="" dxfId="1">
      <formula>AND(C12&lt;&gt;"",D12&lt;&gt;"",D12&lt;C12)</formula>
    </cfRule>
  </conditionalFormatting>
  <dataValidations count="2">
    <dataValidation allowBlank="false" errorStyle="stop" operator="between" showDropDown="false" showErrorMessage="false" showInputMessage="false" sqref="B10" type="list">
      <formula1>"Giá bình quân hóa đơn (khuyên dùng),Chia hết hóa đơn theo tỷ lệ dùng"</formula1>
      <formula2>0</formula2>
    </dataValidation>
    <dataValidation allowBlank="false" error="Nhập số, không âm" errorStyle="stop" operator="greaterThanOrEqual" showDropDown="false" showErrorMessage="true" showInputMessage="false" sqref="B4:B5 C12:D41"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95"/>
  </cols>
  <sheetData>
    <row r="1" customFormat="false" ht="19.7" hidden="false" customHeight="false" outlineLevel="0" collapsed="false">
      <c r="A1" s="1" t="s">
        <v>45</v>
      </c>
    </row>
    <row r="2" customFormat="false" ht="15" hidden="false" customHeight="false" outlineLevel="0" collapsed="false">
      <c r="A2" s="4" t="s">
        <v>46</v>
      </c>
    </row>
    <row r="3" customFormat="false" ht="39.55" hidden="false" customHeight="false" outlineLevel="0" collapsed="false">
      <c r="A3" s="20" t="str">
        <f aca="false">'Tính tiền'!G12</f>
        <v>Phòng P101 – tháng 10/2026
Điện: 1,200 → 1,420 = 220 kWh → 622,200 đ
(Hóa đơn điện lực tháng: 1,980,000 đ / 700 kWh = 2,829 đ/kWh bình quân; làm tròn xuống 100 đ)</v>
      </c>
    </row>
    <row r="4" customFormat="false" ht="39.55" hidden="false" customHeight="false" outlineLevel="0" collapsed="false">
      <c r="A4" s="20" t="str">
        <f aca="false">'Tính tiền'!G13</f>
        <v>Phòng P102 – tháng 10/2026
Điện: 850 → 990 = 140 kWh → 396,000 đ
(Hóa đơn điện lực tháng: 1,980,000 đ / 700 kWh = 2,829 đ/kWh bình quân; làm tròn xuống 100 đ)</v>
      </c>
    </row>
    <row r="5" customFormat="false" ht="39.55" hidden="false" customHeight="false" outlineLevel="0" collapsed="false">
      <c r="A5" s="20" t="str">
        <f aca="false">'Tính tiền'!G14</f>
        <v>Phòng P103 – tháng 10/2026
Điện: 3,010 → 3,305 = 295 kWh → 834,400 đ
(Hóa đơn điện lực tháng: 1,980,000 đ / 700 kWh = 2,829 đ/kWh bình quân; làm tròn xuống 100 đ)</v>
      </c>
    </row>
    <row r="6" customFormat="false" ht="15" hidden="false" customHeight="false" outlineLevel="0" collapsed="false">
      <c r="A6" s="20" t="str">
        <f aca="false">'Tính tiền'!G15</f>
        <v/>
      </c>
    </row>
    <row r="7" customFormat="false" ht="15" hidden="false" customHeight="false" outlineLevel="0" collapsed="false">
      <c r="A7" s="20" t="str">
        <f aca="false">'Tính tiền'!G16</f>
        <v/>
      </c>
    </row>
    <row r="8" customFormat="false" ht="15" hidden="false" customHeight="false" outlineLevel="0" collapsed="false">
      <c r="A8" s="20" t="str">
        <f aca="false">'Tính tiền'!G17</f>
        <v/>
      </c>
    </row>
    <row r="9" customFormat="false" ht="15" hidden="false" customHeight="false" outlineLevel="0" collapsed="false">
      <c r="A9" s="20" t="str">
        <f aca="false">'Tính tiền'!G18</f>
        <v/>
      </c>
    </row>
    <row r="10" customFormat="false" ht="15" hidden="false" customHeight="false" outlineLevel="0" collapsed="false">
      <c r="A10" s="20" t="str">
        <f aca="false">'Tính tiền'!G19</f>
        <v/>
      </c>
    </row>
    <row r="11" customFormat="false" ht="15" hidden="false" customHeight="false" outlineLevel="0" collapsed="false">
      <c r="A11" s="20" t="str">
        <f aca="false">'Tính tiền'!G20</f>
        <v/>
      </c>
    </row>
    <row r="12" customFormat="false" ht="15" hidden="false" customHeight="false" outlineLevel="0" collapsed="false">
      <c r="A12" s="20" t="str">
        <f aca="false">'Tính tiền'!G21</f>
        <v/>
      </c>
    </row>
    <row r="13" customFormat="false" ht="15" hidden="false" customHeight="false" outlineLevel="0" collapsed="false">
      <c r="A13" s="20" t="str">
        <f aca="false">'Tính tiền'!G22</f>
        <v/>
      </c>
    </row>
    <row r="14" customFormat="false" ht="15" hidden="false" customHeight="false" outlineLevel="0" collapsed="false">
      <c r="A14" s="20" t="str">
        <f aca="false">'Tính tiền'!G23</f>
        <v/>
      </c>
    </row>
    <row r="15" customFormat="false" ht="15" hidden="false" customHeight="false" outlineLevel="0" collapsed="false">
      <c r="A15" s="20" t="str">
        <f aca="false">'Tính tiền'!G24</f>
        <v/>
      </c>
    </row>
    <row r="16" customFormat="false" ht="15" hidden="false" customHeight="false" outlineLevel="0" collapsed="false">
      <c r="A16" s="20" t="str">
        <f aca="false">'Tính tiền'!G25</f>
        <v/>
      </c>
    </row>
    <row r="17" customFormat="false" ht="15" hidden="false" customHeight="false" outlineLevel="0" collapsed="false">
      <c r="A17" s="20" t="str">
        <f aca="false">'Tính tiền'!G26</f>
        <v/>
      </c>
    </row>
    <row r="18" customFormat="false" ht="15" hidden="false" customHeight="false" outlineLevel="0" collapsed="false">
      <c r="A18" s="20" t="str">
        <f aca="false">'Tính tiền'!G27</f>
        <v/>
      </c>
    </row>
    <row r="19" customFormat="false" ht="15" hidden="false" customHeight="false" outlineLevel="0" collapsed="false">
      <c r="A19" s="20" t="str">
        <f aca="false">'Tính tiền'!G28</f>
        <v/>
      </c>
    </row>
    <row r="20" customFormat="false" ht="15" hidden="false" customHeight="false" outlineLevel="0" collapsed="false">
      <c r="A20" s="20" t="str">
        <f aca="false">'Tính tiền'!G29</f>
        <v/>
      </c>
    </row>
    <row r="21" customFormat="false" ht="15" hidden="false" customHeight="false" outlineLevel="0" collapsed="false">
      <c r="A21" s="20" t="str">
        <f aca="false">'Tính tiền'!G30</f>
        <v/>
      </c>
    </row>
    <row r="22" customFormat="false" ht="15" hidden="false" customHeight="false" outlineLevel="0" collapsed="false">
      <c r="A22" s="20" t="str">
        <f aca="false">'Tính tiền'!G31</f>
        <v/>
      </c>
    </row>
    <row r="23" customFormat="false" ht="15" hidden="false" customHeight="false" outlineLevel="0" collapsed="false">
      <c r="A23" s="20" t="str">
        <f aca="false">'Tính tiền'!G32</f>
        <v/>
      </c>
    </row>
    <row r="24" customFormat="false" ht="15" hidden="false" customHeight="false" outlineLevel="0" collapsed="false">
      <c r="A24" s="20" t="str">
        <f aca="false">'Tính tiền'!G33</f>
        <v/>
      </c>
    </row>
    <row r="25" customFormat="false" ht="15" hidden="false" customHeight="false" outlineLevel="0" collapsed="false">
      <c r="A25" s="20" t="str">
        <f aca="false">'Tính tiền'!G34</f>
        <v/>
      </c>
    </row>
    <row r="26" customFormat="false" ht="15" hidden="false" customHeight="false" outlineLevel="0" collapsed="false">
      <c r="A26" s="20" t="str">
        <f aca="false">'Tính tiền'!G35</f>
        <v/>
      </c>
    </row>
    <row r="27" customFormat="false" ht="15" hidden="false" customHeight="false" outlineLevel="0" collapsed="false">
      <c r="A27" s="20" t="str">
        <f aca="false">'Tính tiền'!G36</f>
        <v/>
      </c>
    </row>
    <row r="28" customFormat="false" ht="15" hidden="false" customHeight="false" outlineLevel="0" collapsed="false">
      <c r="A28" s="20" t="str">
        <f aca="false">'Tính tiền'!G37</f>
        <v/>
      </c>
    </row>
    <row r="29" customFormat="false" ht="15" hidden="false" customHeight="false" outlineLevel="0" collapsed="false">
      <c r="A29" s="20" t="str">
        <f aca="false">'Tính tiền'!G38</f>
        <v/>
      </c>
    </row>
    <row r="30" customFormat="false" ht="15" hidden="false" customHeight="false" outlineLevel="0" collapsed="false">
      <c r="A30" s="20" t="str">
        <f aca="false">'Tính tiền'!G39</f>
        <v/>
      </c>
    </row>
    <row r="31" customFormat="false" ht="15" hidden="false" customHeight="false" outlineLevel="0" collapsed="false">
      <c r="A31" s="20" t="str">
        <f aca="false">'Tính tiền'!G40</f>
        <v/>
      </c>
    </row>
    <row r="32" customFormat="false" ht="15" hidden="false" customHeight="false" outlineLevel="0" collapsed="false">
      <c r="A32" s="20" t="str">
        <f aca="false">'Tính tiền'!G41</f>
        <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2" min="2" style="0" width="44"/>
  </cols>
  <sheetData>
    <row r="1" customFormat="false" ht="19.7" hidden="false" customHeight="false" outlineLevel="0" collapsed="false">
      <c r="A1" s="1" t="s">
        <v>47</v>
      </c>
    </row>
    <row r="3" customFormat="false" ht="15" hidden="false" customHeight="false" outlineLevel="0" collapsed="false">
      <c r="A3" s="12" t="s">
        <v>48</v>
      </c>
      <c r="B3" s="21" t="s">
        <v>49</v>
      </c>
    </row>
    <row r="4" customFormat="false" ht="15" hidden="false" customHeight="false" outlineLevel="0" collapsed="false">
      <c r="A4" s="12" t="s">
        <v>50</v>
      </c>
      <c r="B4" s="21" t="s">
        <v>51</v>
      </c>
    </row>
  </sheetData>
  <dataValidations count="1">
    <dataValidation allowBlank="false" errorStyle="stop" operator="between" showDropDown="false" showErrorMessage="false" showInputMessage="false" sqref="B4" type="list">
      <formula1>"Giá bình quân hóa đơn (khuyên dùng),Chia hết hóa đơn theo tỷ lệ dùng"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2026-10-22T23:43:00Z</dcterms:created>
  <dc:creator>openpyxl</dc:creator>
  <dc:description/>
  <dc:language>en-US</dc:language>
  <cp:lastModifiedBy/>
  <dcterms:modified xsi:type="dcterms:W3CDTF">2026-10-22T23:43:00Z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